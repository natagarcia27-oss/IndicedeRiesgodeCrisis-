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\2. Análisis\2026\5. Mayo\4. Proyeccion manifestaciones\1. Ejercicio 29 mayo\"/>
    </mc:Choice>
  </mc:AlternateContent>
  <xr:revisionPtr revIDLastSave="0" documentId="13_ncr:1_{2DEE5663-2B46-4605-9526-AD2960B48BC9}" xr6:coauthVersionLast="47" xr6:coauthVersionMax="47" xr10:uidLastSave="{00000000-0000-0000-0000-000000000000}"/>
  <bookViews>
    <workbookView xWindow="-120" yWindow="-120" windowWidth="20730" windowHeight="11160" tabRatio="952" activeTab="5" xr2:uid="{6420DB65-7D77-43A3-87E8-63EC798B5195}"/>
  </bookViews>
  <sheets>
    <sheet name="Escenarios" sheetId="9" r:id="rId1"/>
    <sheet name="Nivel de criticidad" sheetId="3" r:id="rId2"/>
    <sheet name="Probabilidad asistencia militar" sheetId="5" r:id="rId3"/>
    <sheet name="Categorias" sheetId="2" r:id="rId4"/>
    <sheet name="Indicadores" sheetId="8" r:id="rId5"/>
    <sheet name="Matriz integrada" sheetId="1" r:id="rId6"/>
    <sheet name="Hoja7" sheetId="7" state="hidden" r:id="rId7"/>
    <sheet name="Alistamiento estrategico " sheetId="6" r:id="rId8"/>
  </sheets>
  <definedNames>
    <definedName name="_xlnm.Print_Area" localSheetId="5">'Matriz integrada'!$A$1:$M$67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7" i="1" l="1" a="1"/>
  <c r="K67" i="1" s="1"/>
  <c r="M67" i="1" a="1"/>
  <c r="M67" i="1" s="1"/>
  <c r="I67" i="1"/>
  <c r="G67" i="1"/>
  <c r="E67" i="1"/>
  <c r="C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<sst xmlns="http://schemas.openxmlformats.org/spreadsheetml/2006/main" count="600" uniqueCount="469">
  <si>
    <t>Categoría</t>
  </si>
  <si>
    <t>Indicador específico</t>
  </si>
  <si>
    <t>Legitimidad electoral</t>
  </si>
  <si>
    <t>Tiempo resultados oficiales</t>
  </si>
  <si>
    <t>&lt;24h</t>
  </si>
  <si>
    <t>24–72h</t>
  </si>
  <si>
    <t>&gt;72h</t>
  </si>
  <si>
    <t>Tiempo publicación actas</t>
  </si>
  <si>
    <t>&lt;48h</t>
  </si>
  <si>
    <t>48–96h</t>
  </si>
  <si>
    <t>&gt;96h</t>
  </si>
  <si>
    <t>Pronunciamiento candidato presidencial</t>
  </si>
  <si>
    <t>Reconoce</t>
  </si>
  <si>
    <t>Ambiguo</t>
  </si>
  <si>
    <t>Desconoce</t>
  </si>
  <si>
    <t>&lt;5%</t>
  </si>
  <si>
    <t>Gobiernos extranjeros que cuestionan</t>
  </si>
  <si>
    <t>1–3</t>
  </si>
  <si>
    <t>&gt;3</t>
  </si>
  <si>
    <t>Validan</t>
  </si>
  <si>
    <t>Observaciones</t>
  </si>
  <si>
    <t>Cuestionan</t>
  </si>
  <si>
    <t>Convocatorias a movilización</t>
  </si>
  <si>
    <t>No</t>
  </si>
  <si>
    <t>Sectorial</t>
  </si>
  <si>
    <t>Nacional</t>
  </si>
  <si>
    <t>Movilización social</t>
  </si>
  <si>
    <t># ciudades con protestas</t>
  </si>
  <si>
    <t>&lt;5</t>
  </si>
  <si>
    <t>5–15</t>
  </si>
  <si>
    <t>&gt;15</t>
  </si>
  <si>
    <t># manifestantes</t>
  </si>
  <si>
    <t>Días consecutivos protesta</t>
  </si>
  <si>
    <t>1–2</t>
  </si>
  <si>
    <t>3–7</t>
  </si>
  <si>
    <t>&gt;7</t>
  </si>
  <si>
    <t># bloqueos viales</t>
  </si>
  <si>
    <t>&lt;10</t>
  </si>
  <si>
    <t>10–50</t>
  </si>
  <si>
    <t>&gt;50</t>
  </si>
  <si>
    <t>Movilización rural → urbana</t>
  </si>
  <si>
    <t>Local</t>
  </si>
  <si>
    <t>Interregional</t>
  </si>
  <si>
    <t>Movilización hacia capitales</t>
  </si>
  <si>
    <t>Parcial</t>
  </si>
  <si>
    <t>Masiva</t>
  </si>
  <si>
    <t>Grupos de autoprotección</t>
  </si>
  <si>
    <t>Nivel organización protesta</t>
  </si>
  <si>
    <t>Baja</t>
  </si>
  <si>
    <t>Media</t>
  </si>
  <si>
    <t>Alta</t>
  </si>
  <si>
    <t>Dinámica digital y mediática</t>
  </si>
  <si>
    <t>Hashtags en tendencia</t>
  </si>
  <si>
    <t>&lt;2</t>
  </si>
  <si>
    <t>2–5</t>
  </si>
  <si>
    <t>&gt;5</t>
  </si>
  <si>
    <t>Velocidad viralización</t>
  </si>
  <si>
    <t>Medios cubriendo simultáneamente</t>
  </si>
  <si>
    <t>&lt;3</t>
  </si>
  <si>
    <t>3–6</t>
  </si>
  <si>
    <t>&gt;6</t>
  </si>
  <si>
    <t>Cobertura en vivo (prime)</t>
  </si>
  <si>
    <t>&lt;15 min</t>
  </si>
  <si>
    <t>15–60 min</t>
  </si>
  <si>
    <t>&gt;60 min</t>
  </si>
  <si>
    <t>Días cobertura continua</t>
  </si>
  <si>
    <t>2–3</t>
  </si>
  <si>
    <t>Dominancia agenda mediática</t>
  </si>
  <si>
    <t>Transmisiones en vivo</t>
  </si>
  <si>
    <t>Narrativa mediática</t>
  </si>
  <si>
    <t>Neutral</t>
  </si>
  <si>
    <t>Polarizada</t>
  </si>
  <si>
    <t>Crisis</t>
  </si>
  <si>
    <t>Disrupción logística</t>
  </si>
  <si>
    <t>% red vial bloqueada</t>
  </si>
  <si>
    <t>5–20%</t>
  </si>
  <si>
    <t>&gt;20%</t>
  </si>
  <si>
    <t>Transporte público operativo</t>
  </si>
  <si>
    <t>&gt;90%</t>
  </si>
  <si>
    <t>60–90%</t>
  </si>
  <si>
    <t>&lt;60%</t>
  </si>
  <si>
    <t>Nivel de abastecimiento</t>
  </si>
  <si>
    <t>Normal</t>
  </si>
  <si>
    <t>Retrasos</t>
  </si>
  <si>
    <t>Escasez</t>
  </si>
  <si>
    <t>Violencia y orden público</t>
  </si>
  <si>
    <t># enfrentamientos</t>
  </si>
  <si>
    <t>5–20</t>
  </si>
  <si>
    <t>&gt;20</t>
  </si>
  <si>
    <t># lesionados</t>
  </si>
  <si>
    <t>&lt;20</t>
  </si>
  <si>
    <t>20–100</t>
  </si>
  <si>
    <t>&gt;100</t>
  </si>
  <si>
    <t># muertes en protestas</t>
  </si>
  <si>
    <t>≥3</t>
  </si>
  <si>
    <t>Ataques a infraestructura</t>
  </si>
  <si>
    <t>Intensidad enfrentamientos</t>
  </si>
  <si>
    <t>Uso de artefactos peligrosos</t>
  </si>
  <si>
    <t>Relación civil-militar</t>
  </si>
  <si>
    <t>Solicitudes asistencia militar</t>
  </si>
  <si>
    <t>1–5</t>
  </si>
  <si>
    <t>PMU / reuniones extraordinarias</t>
  </si>
  <si>
    <t>0–1</t>
  </si>
  <si>
    <t>Capacidad policial disponible</t>
  </si>
  <si>
    <t>&gt;80%</t>
  </si>
  <si>
    <t>60–80%</t>
  </si>
  <si>
    <t>Medidas excepcionales</t>
  </si>
  <si>
    <t>Percepción negativa fuerza pública</t>
  </si>
  <si>
    <t>Actores armados ilegales</t>
  </si>
  <si>
    <t>Control territorial irregular</t>
  </si>
  <si>
    <t>0–2</t>
  </si>
  <si>
    <t>Infiltración en protestas</t>
  </si>
  <si>
    <t>Nula</t>
  </si>
  <si>
    <t>Indicios</t>
  </si>
  <si>
    <t>Confirmada</t>
  </si>
  <si>
    <t>Acciones armadas urbanas</t>
  </si>
  <si>
    <t>Violencia organizada</t>
  </si>
  <si>
    <t>Ataques simultáneos</t>
  </si>
  <si>
    <t>Patrones repetitivos</t>
  </si>
  <si>
    <t>Infraestructura crítica atacada</t>
  </si>
  <si>
    <t>Estabilidad institucional</t>
  </si>
  <si>
    <t>Entidades públicas no operativas</t>
  </si>
  <si>
    <t>Funcionamiento Congreso</t>
  </si>
  <si>
    <t>Intermitente</t>
  </si>
  <si>
    <t>Paralizado</t>
  </si>
  <si>
    <t>Decisiones judiciales cuestionadas</t>
  </si>
  <si>
    <t>3–5</t>
  </si>
  <si>
    <t>Alcaldías sin control territorial</t>
  </si>
  <si>
    <t>0–3</t>
  </si>
  <si>
    <t>4–10</t>
  </si>
  <si>
    <t>&gt;10</t>
  </si>
  <si>
    <t>Medidas excepcionales extendidas</t>
  </si>
  <si>
    <t>Variables económicas</t>
  </si>
  <si>
    <t>Ciudades con afectación económica</t>
  </si>
  <si>
    <t>Ciudades con desabastecimiento</t>
  </si>
  <si>
    <t>Empresas suspenden operación</t>
  </si>
  <si>
    <t>3–10</t>
  </si>
  <si>
    <t>Empleo informal afectado</t>
  </si>
  <si>
    <t>Generalizado</t>
  </si>
  <si>
    <t>Empleo formal afectado</t>
  </si>
  <si>
    <t>Cadenas suministro afectadas</t>
  </si>
  <si>
    <t>NO</t>
  </si>
  <si>
    <t>% menciones de fraude</t>
  </si>
  <si>
    <t>% congresistas que cuestionan</t>
  </si>
  <si>
    <t>Organismos internacionales</t>
  </si>
  <si>
    <t>Peso total (%)</t>
  </si>
  <si>
    <t>Rango (%)</t>
  </si>
  <si>
    <t>Nivel</t>
  </si>
  <si>
    <t>Interpretación</t>
  </si>
  <si>
    <t>Estabilidad</t>
  </si>
  <si>
    <t>Situación controlada, eventos aislados, sin riesgo estructural de escalamiento.</t>
  </si>
  <si>
    <t>Riesgo creciente</t>
  </si>
  <si>
    <t>Crisis activa</t>
  </si>
  <si>
    <t>Convergencia de factores críticos: movilización sostenida, disrupción logística y presión institucional.</t>
  </si>
  <si>
    <t>Pérdida de control en múltiples frentes, alto riesgo de colapso parcial o intervención excepcional del Estado.</t>
  </si>
  <si>
    <t>ü</t>
  </si>
  <si>
    <t>Indicador</t>
  </si>
  <si>
    <t>Medios simultáneos</t>
  </si>
  <si>
    <t>Capacidad policial</t>
  </si>
  <si>
    <t>Entidades no operativas</t>
  </si>
  <si>
    <t>Crisis máxima</t>
  </si>
  <si>
    <t>Rango IAAM</t>
  </si>
  <si>
    <t>Estado institucional</t>
  </si>
  <si>
    <t>Implicación militar</t>
  </si>
  <si>
    <t>Riesgo clave</t>
  </si>
  <si>
    <t>0–30</t>
  </si>
  <si>
    <t>El sistema está bajo control. La capacidad policial es suficiente.</t>
  </si>
  <si>
    <t>Protestas aisladas, bloqueos puntuales, baja violencia, narrativa aún no dominante.</t>
  </si>
  <si>
    <t>Gobernabilidad estable, autoridades operando normalmente.</t>
  </si>
  <si>
    <t>Subestimar la fase inicial de escalamiento.</t>
  </si>
  <si>
    <t>31–60</t>
  </si>
  <si>
    <t>Fase de escalamiento. Surgen patrones de coordinación y presión multisectorial.</t>
  </si>
  <si>
    <t>Protestas en varias ciudades, bloqueos crecientes, narrativa de crisis emergente, indicios de organización e infiltración.</t>
  </si>
  <si>
    <t>Instituciones tensionadas, activación de PMU, presión política creciente.</t>
  </si>
  <si>
    <t>No actuar a tiempo y permitir transición a crisis activa.</t>
  </si>
  <si>
    <t>61–80</t>
  </si>
  <si>
    <t>Crisis estructural de orden público. Capacidad policial empieza a ser insuficiente.</t>
  </si>
  <si>
    <t>Bloqueos masivos, afectación logística real, violencia organizada, uso de artefactos, posible presencia de actores armados.</t>
  </si>
  <si>
    <t>Pérdida parcial de control territorial, alcaldías sobrepasadas, alta presión política.</t>
  </si>
  <si>
    <t>Escalamiento descontrolado del uso de la fuerza.</t>
  </si>
  <si>
    <t>81–100</t>
  </si>
  <si>
    <t>Fase crítica o pre-colapso. El Estado pierde control en múltiples frentes.</t>
  </si>
  <si>
    <t>Paralización regional, desabastecimiento, violencia coordinada, ataques a infraestructura crítica, convergencia de actores.</t>
  </si>
  <si>
    <t>Ingobernabilidad, fallas institucionales, crisis de legitimidad, presión internacional.</t>
  </si>
  <si>
    <t>Espiral de crisis difícil de revertir.</t>
  </si>
  <si>
    <t>Escenario</t>
  </si>
  <si>
    <t>IAAM</t>
  </si>
  <si>
    <t>Órdenes e instrucciones estratégicas (CGFM)</t>
  </si>
  <si>
    <t>Riesgos a gestionar</t>
  </si>
  <si>
    <t>Prevenir y anticipar</t>
  </si>
  <si>
    <t>Ley 1801 de 2016; principios de legalidad, necesidad y proporcionalidad</t>
  </si>
  <si>
    <t>Subestimar señales tempranas; desalineación interinstitucional</t>
  </si>
  <si>
    <t>Preparar y articular</t>
  </si>
  <si>
    <t>Marco de asistencia militar (competencia de autoridad civil; solicitud formal); enfoque subsidiario</t>
  </si>
  <si>
    <t>Escalada sin preparación; vacíos jurídicos en la solicitud</t>
  </si>
  <si>
    <t>Apoyar de forma subsidiaria</t>
  </si>
  <si>
    <t>Principio de subsidiariedad; estándares de DD.HH. (necesidad, proporcionalidad, rendición de cuentas)</t>
  </si>
  <si>
    <t>Uso indebido de la fuerza; afectación a legitimidad</t>
  </si>
  <si>
    <t>Contener y estabilizar bajo control civil</t>
  </si>
  <si>
    <t>Constitución y régimen aplicable (incluidos eventuales estados de excepción); DD.HH. y DIH según el contexto; control civil de la fuerza</t>
  </si>
  <si>
    <t>Escalamiento y efectos humanitarios; deterioro de legitimidad</t>
  </si>
  <si>
    <t>Intención del Comandante</t>
  </si>
  <si>
    <t>Marco normativo</t>
  </si>
  <si>
    <t>1. Disponer capacidades para apoyo a la autoridad civil, sujeto a solicitud formal. 
2. Coordinar con la Policía la delimitación de roles, manteniendo liderazgo policial en orden público. 
3. Priorizar la protección de infraestructura crítica conforme a la ley. 
4. Fortalecer mecanismos de control, registro y supervisión para garantizar DD.HH. y trazabilidad de actuaciones (blindaje juridico).</t>
  </si>
  <si>
    <t>1. Ejecutar la asistencia militar conforme a la solicitud de la autoridad civil competente. 
2. Coordinación centralizada con Gobierno, Policía y autoridades territoriales. 
3. Priorizar la continuidad de servicios esenciales y protección de infraestructura estratégica. 
4. Garantizar comunicación pública transparente de todos los hechos, asi como,  mecanismos de supervisión y control reforzados.</t>
  </si>
  <si>
    <t xml:space="preserve"> 0–30%</t>
  </si>
  <si>
    <t xml:space="preserve"> 31–60%</t>
  </si>
  <si>
    <t xml:space="preserve"> 61–80%</t>
  </si>
  <si>
    <t xml:space="preserve"> &gt;80%</t>
  </si>
  <si>
    <t xml:space="preserve"> Baja probabilidad</t>
  </si>
  <si>
    <t>Probable</t>
  </si>
  <si>
    <t>Alta probabilidad</t>
  </si>
  <si>
    <t>Intervención inminente</t>
  </si>
  <si>
    <t>Baja probabilidad</t>
  </si>
  <si>
    <t xml:space="preserve"> Intervención inminente</t>
  </si>
  <si>
    <t>Estable</t>
  </si>
  <si>
    <t>Probabilidad total</t>
  </si>
  <si>
    <t>E: Estable</t>
  </si>
  <si>
    <t>E: Riesgo creciente</t>
  </si>
  <si>
    <t>E: Critico</t>
  </si>
  <si>
    <t>Nivel de Criticidad</t>
  </si>
  <si>
    <t xml:space="preserve">Prob. solicitud asistencia </t>
  </si>
  <si>
    <t>&lt;11% (0-34)</t>
  </si>
  <si>
    <t>12–23% (34 - 68)</t>
  </si>
  <si>
    <t>&gt;24% (+68)</t>
  </si>
  <si>
    <t>Contenido desinformativo en el día</t>
  </si>
  <si>
    <t>0 a 3</t>
  </si>
  <si>
    <t>0 a 2</t>
  </si>
  <si>
    <t>Baja (Más 6 Horas)</t>
  </si>
  <si>
    <t>Media (2 a 6Horas)</t>
  </si>
  <si>
    <t>Alta (2Horas)</t>
  </si>
  <si>
    <t xml:space="preserve">Portada una fuente principal </t>
  </si>
  <si>
    <t xml:space="preserve">Portada dos fuente principal </t>
  </si>
  <si>
    <t xml:space="preserve">Portada tres fuentes principales </t>
  </si>
  <si>
    <t>Baja (0-2 simultaneos)</t>
  </si>
  <si>
    <t>Media (3-6 simultaneos)</t>
  </si>
  <si>
    <t>Masiva (&gt;7 simultaneos)</t>
  </si>
  <si>
    <t>Intensidad enfrentamientos con Fuerza Pública</t>
  </si>
  <si>
    <t>Baja (0 a 4 eventos)</t>
  </si>
  <si>
    <t>Media (5-15 eventos)</t>
  </si>
  <si>
    <t>Alta (&gt;16 eventos)</t>
  </si>
  <si>
    <t>Objetos comunes (palos, piedras)</t>
  </si>
  <si>
    <t>Riesgo pasivo (Elementos incendiarios, drones de grabacion y observacion, elementos modificados no letales)</t>
  </si>
  <si>
    <t>Riesgo activo (Artefactos explosivos o incendiarios recurrentes, drones de interferencia o ataque)</t>
  </si>
  <si>
    <t>Solicitudes asistencia militar municipal</t>
  </si>
  <si>
    <t>0 a 2 ciudades</t>
  </si>
  <si>
    <t>3 a 8 ciudades</t>
  </si>
  <si>
    <t>&gt;9 ciudades</t>
  </si>
  <si>
    <t>0–1 hashtags</t>
  </si>
  <si>
    <t>2–4 hashtags</t>
  </si>
  <si>
    <t>≥5 hashtags</t>
  </si>
  <si>
    <t>Acciones armadas en áreas rurales</t>
  </si>
  <si>
    <t>0 a 2 / día</t>
  </si>
  <si>
    <t>3 a 7 / día</t>
  </si>
  <si>
    <t>&gt;8 / día</t>
  </si>
  <si>
    <t>Presencia GAO en principales ciudades</t>
  </si>
  <si>
    <t>0 a 1 ciudad</t>
  </si>
  <si>
    <t>2 a 4 ciudades</t>
  </si>
  <si>
    <t>&gt;5 ciudades</t>
  </si>
  <si>
    <t xml:space="preserve">Eventos de manifestación violenta </t>
  </si>
  <si>
    <t>0-3 / Día</t>
  </si>
  <si>
    <t>4-10 / Día</t>
  </si>
  <si>
    <t>&gt;11 / Día</t>
  </si>
  <si>
    <t xml:space="preserve">Ataques simultáneos </t>
  </si>
  <si>
    <t>2 a 3 ciudades</t>
  </si>
  <si>
    <t>&gt;4 ciudades</t>
  </si>
  <si>
    <t>Patrones repetitivos (de ataques simultaneos en diferentes días)</t>
  </si>
  <si>
    <t>0 a 2 hechos</t>
  </si>
  <si>
    <t>3 a 6 hechos</t>
  </si>
  <si>
    <t>&gt;7 hechos</t>
  </si>
  <si>
    <t>Manifestaciones con tendencia violenta coordinada por horarios</t>
  </si>
  <si>
    <t>0 a 3 hechos</t>
  </si>
  <si>
    <t>4 a 8 hechos</t>
  </si>
  <si>
    <t>&gt;9 hechos</t>
  </si>
  <si>
    <t xml:space="preserve">Bloqueos de infraestructura crítica </t>
  </si>
  <si>
    <t>Menos de 24H</t>
  </si>
  <si>
    <t>Más de 24H</t>
  </si>
  <si>
    <t>Más de 48H</t>
  </si>
  <si>
    <t>3 a 7</t>
  </si>
  <si>
    <t>&gt;8</t>
  </si>
  <si>
    <t>0 a 3 Entidades</t>
  </si>
  <si>
    <t>4 a 10 Entidades</t>
  </si>
  <si>
    <t>&gt;11 Entidades</t>
  </si>
  <si>
    <t>Zonas urbanas con control efectivo de terceros</t>
  </si>
  <si>
    <t>0 a 2 zonas</t>
  </si>
  <si>
    <t>3 a 7 zonas</t>
  </si>
  <si>
    <t>&gt;8 zonas</t>
  </si>
  <si>
    <t>Ciudades con afectación comercial</t>
  </si>
  <si>
    <t>3 a 6 ciudades</t>
  </si>
  <si>
    <t>&gt;7 ciudades</t>
  </si>
  <si>
    <t>Días de afectación económica</t>
  </si>
  <si>
    <t>0 a 2 días</t>
  </si>
  <si>
    <t>3 a 6 días</t>
  </si>
  <si>
    <t>&gt;7 días</t>
  </si>
  <si>
    <t>&gt;6 ciudades</t>
  </si>
  <si>
    <t>0 ciudades</t>
  </si>
  <si>
    <t>1–3 ciudades</t>
  </si>
  <si>
    <t>&gt;3 ciudades</t>
  </si>
  <si>
    <t>&lt;15% /100 publicaciones</t>
  </si>
  <si>
    <t>15–35% /100 publicaciones</t>
  </si>
  <si>
    <t>&gt;35% /100 publicaciones</t>
  </si>
  <si>
    <t>20.000 a 80.000 personas</t>
  </si>
  <si>
    <t>&lt;20.000 personas</t>
  </si>
  <si>
    <t>&gt;100.000 personas</t>
  </si>
  <si>
    <t>Presencia de grupos de autoprotección (Guardias indigenas, campesinas, cimarronas, primera linea, agromineras)</t>
  </si>
  <si>
    <t>≥4 ciudades</t>
  </si>
  <si>
    <t>0 a 1 ciudades</t>
  </si>
  <si>
    <t>SI</t>
  </si>
  <si>
    <t>Definición ampliada (qué es y por qué importa)</t>
  </si>
  <si>
    <t>Cómo medir (guía práctica)</t>
  </si>
  <si>
    <t>Mide qué tanto la conversación pública está enfocada en la idea de fraude electoral. Cuando aumenta, indica pérdida de confianza en el proceso democrático y puede detonar movilización social.</t>
  </si>
  <si>
    <t>Revisar 50–100 publicaciones → contar cuántas mencionan fraude → calcular %</t>
  </si>
  <si>
    <t>Indica cuánto tarda el Estado en informar resultados. Retrasos prolongados generan incertidumbre y desconfianza.</t>
  </si>
  <si>
    <t>Medir tiempo desde cierre de votación hasta anuncio oficial</t>
  </si>
  <si>
    <t>Refleja la transparencia del proceso. Si las actas tardan, aumenta la percepción de manipulación.</t>
  </si>
  <si>
    <t>Contar tiempo hasta publicación completa de actas</t>
  </si>
  <si>
    <t>Evalúa si los líderes aceptan o rechazan resultados. Un rechazo puede escalar la crisis.</t>
  </si>
  <si>
    <t>Clasificar postura (acepta / duda / rechaza)</t>
  </si>
  <si>
    <t>Mide si la crisis escala al sistema político. Más actores cuestionando = mayor inestabilidad institucional.</t>
  </si>
  <si>
    <t>Contar congresistas que cuestionan / total</t>
  </si>
  <si>
    <t>Indica presión internacional sobre la legitimidad del proceso.</t>
  </si>
  <si>
    <t>Contar gobiernos con declaraciones</t>
  </si>
  <si>
    <t>Refleja si la elección es reconocida o cuestionada globalmente.</t>
  </si>
  <si>
    <t>Identificar postura oficial</t>
  </si>
  <si>
    <t>Señala si el conflicto político se traslada a las calles.</t>
  </si>
  <si>
    <t>Contar convocatorias visibles</t>
  </si>
  <si>
    <t>Mide la extensión territorial de la protesta. Más ciudades = mayor capacidad de expansión.</t>
  </si>
  <si>
    <t>Contar ciudades con manifestaciones</t>
  </si>
  <si>
    <t>Refleja el volumen de movilización en una jornada. Es clave para medir presión social real.</t>
  </si>
  <si>
    <t>Sumar estimaciones de ciudades</t>
  </si>
  <si>
    <t>Indica persistencia. A mayor duración, mayor desgaste institucional.</t>
  </si>
  <si>
    <t>Contar días continuos</t>
  </si>
  <si>
    <t>Mide la capacidad de afectar movilidad y funcionamiento urbano.</t>
  </si>
  <si>
    <t>Contar puntos bloqueados</t>
  </si>
  <si>
    <t>Indica escalamiento cuando poblaciones rurales se suman en ciudades.</t>
  </si>
  <si>
    <t>Evidencia de desplazamiento</t>
  </si>
  <si>
    <t>Refleja concentración estratégica de la protesta en centros de poder.</t>
  </si>
  <si>
    <t>Contar capitales receptoras</t>
  </si>
  <si>
    <t>Indica nivel de organización interna de la protesta. Su presencia aumenta la capacidad de resistencia.</t>
  </si>
  <si>
    <t>Contar ciudades con grupos organizados</t>
  </si>
  <si>
    <t>Evalúa si la protesta es espontánea o estructurada (roles, logística).</t>
  </si>
  <si>
    <t>Observación cualitativa directa</t>
  </si>
  <si>
    <t>Mide visibilidad digital del evento. Más tendencias = mayor amplificación.</t>
  </si>
  <si>
    <t>Contar hashtags posicionados</t>
  </si>
  <si>
    <t>Indica qué tan rápido se difunde la información. Alta velocidad = mayor impacto.</t>
  </si>
  <si>
    <t>Medir tiempo de expansión</t>
  </si>
  <si>
    <t>Contenido desinformativo</t>
  </si>
  <si>
    <t>Mide presencia de información falsa que puede escalar la crisis.</t>
  </si>
  <si>
    <t>Contar piezas identificadas</t>
  </si>
  <si>
    <t>Indica nivel de atención mediática en tiempo real.</t>
  </si>
  <si>
    <t>Contar medios activos</t>
  </si>
  <si>
    <t>Cobertura en vivo</t>
  </si>
  <si>
    <t>Refleja importancia del evento en agenda mediática.</t>
  </si>
  <si>
    <t>Mide persistencia del tema en medios.</t>
  </si>
  <si>
    <t>Indica si el evento es el tema principal del país.</t>
  </si>
  <si>
    <t>Ver titulares principales</t>
  </si>
  <si>
    <t>Mide seguimiento ciudadano en tiempo real.</t>
  </si>
  <si>
    <t>Contar streams activos</t>
  </si>
  <si>
    <t>Evalúa el enfoque (neutral, polarizado, crisis).</t>
  </si>
  <si>
    <t>Clasificar narrativa</t>
  </si>
  <si>
    <t>Mide el impacto en movilidad y transporte.</t>
  </si>
  <si>
    <t>Estimar proporción de vías afectadas</t>
  </si>
  <si>
    <t>Indica si la ciudad sigue funcionando normalmente.</t>
  </si>
  <si>
    <t>Evaluar nivel de operación</t>
  </si>
  <si>
    <t>Mide si la población tiene acceso a bienes básicos.</t>
  </si>
  <si>
    <t>Observar disponibilidad</t>
  </si>
  <si>
    <t>Indica nivel de confrontación directa.</t>
  </si>
  <si>
    <t>Contar eventos</t>
  </si>
  <si>
    <t>Mide impacto humano de la violencia.</t>
  </si>
  <si>
    <t>Sumar reportes</t>
  </si>
  <si>
    <t># muertes</t>
  </si>
  <si>
    <t>Nivel crítico de escalamiento del conflicto.</t>
  </si>
  <si>
    <t>Contar casos confirmados</t>
  </si>
  <si>
    <t>Refleja daño a activos físicos del Estado o privados.</t>
  </si>
  <si>
    <t>Mide frecuencia y continuidad de la violencia.</t>
  </si>
  <si>
    <t>Evaluar repetición</t>
  </si>
  <si>
    <t>Indica aumento en capacidad de daño (incluye drones).</t>
  </si>
  <si>
    <t>Clasificar uso observado</t>
  </si>
  <si>
    <t>Indica incapacidad local de control del orden público.</t>
  </si>
  <si>
    <t>Contar solicitudes</t>
  </si>
  <si>
    <t>PMU / reuniones</t>
  </si>
  <si>
    <t>Refleja activación institucional de crisis.</t>
  </si>
  <si>
    <t>Contar reuniones</t>
  </si>
  <si>
    <t>Mide si la Policía puede responder adecuadamente.</t>
  </si>
  <si>
    <t>Estimar disponibilidad</t>
  </si>
  <si>
    <t>Indica escalamiento del control estatal (toques de queda, etc.)</t>
  </si>
  <si>
    <t>Contar ciudades</t>
  </si>
  <si>
    <t>Rechazo a fuerza pública</t>
  </si>
  <si>
    <t>Refleja pérdida de legitimidad operativa.</t>
  </si>
  <si>
    <t>Contar eventos de rechazo</t>
  </si>
  <si>
    <t>Acciones armadas rurales</t>
  </si>
  <si>
    <t>Indica actividad armada fuera de ciudades.</t>
  </si>
  <si>
    <t>Refleja pérdida de control estatal en territorio.</t>
  </si>
  <si>
    <t>Contar zonas</t>
  </si>
  <si>
    <t>Indica participación de actores externos organizados.</t>
  </si>
  <si>
    <t>Mide escalamiento del conflicto a ciudades.</t>
  </si>
  <si>
    <t>Presencia GAO ciudades</t>
  </si>
  <si>
    <t>Refleja expansión de grupos armados a entornos urbanos.</t>
  </si>
  <si>
    <t>Eventos violentos</t>
  </si>
  <si>
    <t>Protestas que escalan a violencia.</t>
  </si>
  <si>
    <t>Indica coordinación territorial.</t>
  </si>
  <si>
    <t>Contar ciudades simultáneas</t>
  </si>
  <si>
    <t>Refleja organización en la violencia.</t>
  </si>
  <si>
    <t>Contar eventos similares</t>
  </si>
  <si>
    <t>Violencia por horarios</t>
  </si>
  <si>
    <t>Indica sincronización temporal.</t>
  </si>
  <si>
    <t>Contar eventos por franja</t>
  </si>
  <si>
    <t>Bloqueos infraestructura crítica</t>
  </si>
  <si>
    <t>Afectación de puntos estratégicos.</t>
  </si>
  <si>
    <t>Contar ubicaciones</t>
  </si>
  <si>
    <t>Daño a sistemas esenciales del país.</t>
  </si>
  <si>
    <t>Contar activos</t>
  </si>
  <si>
    <t>Indica interrupción del funcionamiento estatal.</t>
  </si>
  <si>
    <t>Contar entidades cerradas</t>
  </si>
  <si>
    <t>Refleja estabilidad política.</t>
  </si>
  <si>
    <t>Evaluar sesiones</t>
  </si>
  <si>
    <t>Mide tensión institucional.</t>
  </si>
  <si>
    <t>Contar decisiones</t>
  </si>
  <si>
    <t>Municipios sin control</t>
  </si>
  <si>
    <t>Indica pérdida de autoridad local.</t>
  </si>
  <si>
    <t>Contar municipios</t>
  </si>
  <si>
    <t>Zonas con control de terceros</t>
  </si>
  <si>
    <t>Refleja control paralelo al Estado.</t>
  </si>
  <si>
    <t>Indica prolongación de la crisis.</t>
  </si>
  <si>
    <t>Mide impacto general en actividad económica.</t>
  </si>
  <si>
    <t>Refleja escasez de bienes básicos.</t>
  </si>
  <si>
    <t>Indica cierre o baja actividad comercial.</t>
  </si>
  <si>
    <t>Mide impacto en sector productivo.</t>
  </si>
  <si>
    <t>Contar empresas</t>
  </si>
  <si>
    <t>Refleja caída de economía en calle.</t>
  </si>
  <si>
    <t>Mide impacto en empleo estructurado.</t>
  </si>
  <si>
    <t>Contar sectores</t>
  </si>
  <si>
    <t>Indica duración del impacto económico.</t>
  </si>
  <si>
    <t>Contar días</t>
  </si>
  <si>
    <t>Mide fallas visibles en distribución de bienes (gasolina, alimentos, etc.)</t>
  </si>
  <si>
    <t>Contar puntos visibles de desabastecimiento</t>
  </si>
  <si>
    <t xml:space="preserve">No </t>
  </si>
  <si>
    <t>Probabilidades / criticidad</t>
  </si>
  <si>
    <t>Estimar minutos en horario prime la noticia</t>
  </si>
  <si>
    <t>Contar días consecutivos en los que persiste la noticia</t>
  </si>
  <si>
    <t xml:space="preserve"> No se requiere asistencia militar. Manejo 100% policial.</t>
  </si>
  <si>
    <t xml:space="preserve"> Evaluación activa de asistencia militar. Preparación logística y jurídica.</t>
  </si>
  <si>
    <t xml:space="preserve"> Asistencia militar altamente probable. Despliegue en infraestructura crítica y corredores.</t>
  </si>
  <si>
    <t>Intervención militar inmediata y sostenida. Posible control territorial militarizado.</t>
  </si>
  <si>
    <t>1. Activar instancias de coordinación interinstitucional (PMU u homólogos) con gobernadores y alcaldes. 
2. Revisión jurídica para eventuales solicitudes de asistencia militar. 
3. Alistamiento logístico general y disponibilidad de capacidades de apoyo (sin despliegue operativo). 
4. Consolidar un plan de comunicaciones institucionales para escenarios de escalamiento.</t>
  </si>
  <si>
    <t>Indicadores de medición</t>
  </si>
  <si>
    <t xml:space="preserve">Escenarios y probabilidad de ocurrencia </t>
  </si>
  <si>
    <t>Criticidad</t>
  </si>
  <si>
    <t>Asistencia militar</t>
  </si>
  <si>
    <t>1. Mantener monitoreo permanente del IRC/IAAM y reporte diario consolidado. 
2. Coordinación continua con autoridades civiles y Policía para intercambio de información. 
3. Verificar planes de contingencia y verificación de protocolos de apoyo subsidiario.
4. Reforzar capacitación en DD.HH., uso diferenciado de la fuerza y reglas de empleo aplicables al apoyo a la autoridad civil.</t>
  </si>
  <si>
    <t xml:space="preserve">% Nivel de criticidad del entorno </t>
  </si>
  <si>
    <t xml:space="preserve">Probabilidad de solicitud </t>
  </si>
  <si>
    <t>Incremento de tensiones, señales tempranas de coordinación y expansión de las manifestaciones.</t>
  </si>
  <si>
    <t>Definición estratégica</t>
  </si>
  <si>
    <t>Características generales</t>
  </si>
  <si>
    <t>Implicaciones operacionales</t>
  </si>
  <si>
    <t>El sistema institucional, social y económico mantiene capacidad de funcionamiento normal, aunque puedan existir manifestaciones o incidentes aislados. Los indicadores muestran afectaciones limitadas, localizadas y controlables por medios ordinarios.</t>
  </si>
  <si>
    <t>- Protestas localizadas o de baja intensidad- Baja coordinación entre actores- Funcionamiento normal de instituciones- Capacidad suficiente de Policía y autoridades civiles- Cobertura mediática limitada o intermitente- Sin afectación estructural de abastecimiento o movilidad</t>
  </si>
  <si>
    <t>- Monitoreo preventivo- Seguimiento OSINT y territorial- Activación básica de coordinación institucional- Capacidad ordinaria de control del orden público</t>
  </si>
  <si>
    <t>Los indicadores reflejan expansión territorial, aumento de coordinación y persistencia de la crisis. La capacidad institucional comienza a mostrar señales de desgaste y existe riesgo de escalamiento rápido si no se contiene oportunamente.</t>
  </si>
  <si>
    <t>- Incremento de ciudades con protestas o bloqueos- Mayor volumen de manifestantes- Narrativas de fraude o deslegitimación en expansión- Cobertura mediática sostenida- Aparición de grupos organizados o violencia focalizada- Afectaciones económicas y logísticas visibles- Mayor presión sobre la capacidad policial</t>
  </si>
  <si>
    <t>- Fortalecimiento de PMU y coordinación interinstitucional- Reforzamiento operativo en ciudades críticas- Priorización de infraestructura estratégica- Planeamiento preventivo para escenarios de escalamiento- Evaluación continua de necesidad de medidas excepcionales</t>
  </si>
  <si>
    <t>La crisis presenta afectación simultánea sobre legitimidad institucional, orden público, movilidad, economía y control territorial. Los indicadores muestran coordinación, persistencia y expansión nacional, superando parcial o totalmente la capacidad ordinaria de respuesta estatal.</t>
  </si>
  <si>
    <t>- Movilización masiva y sostenida- Violencia organizada y coordinada- Ataques simultáneos o repetitivos- Presencia activa de actores armados o infiltración- Bloqueos complejos y afectación logística extendida- Disrupción institucional y económica significativa- Medidas excepcionales generalizadas- Alta polarización política y mediática</t>
  </si>
  <si>
    <t>- Activación plena de mecanismos de crisis- Despliegue reforzado de capacidades de seguridad- Protección prioritaria de infraestructura crítica- Coordinación nacional permanente- Evaluación de asistencia militar y medidas extraordinarias- Riesgo elevado de escalamiento nacional y pérdida parcial de control territorial</t>
  </si>
  <si>
    <t>RIESGO CRECIENTE</t>
  </si>
  <si>
    <t>CRÍTICO</t>
  </si>
  <si>
    <t xml:space="preserve"> ESTABLE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</si>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</sst>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Wingdings"/>
      <charset val="2"/>
    </font>
    <font>
      <b/>
      <sz val="11"/>
      <color theme="1" tint="0.1499984740745262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64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2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9" fontId="3" fillId="13" borderId="0" xfId="0" applyNumberFormat="1" applyFont="1" applyFill="1" applyAlignment="1">
      <alignment horizontal="center" vertical="center"/>
    </xf>
    <xf numFmtId="1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2" fillId="14" borderId="0" xfId="0" applyNumberFormat="1" applyFont="1" applyFill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" fontId="0" fillId="0" borderId="3" xfId="0" applyNumberFormat="1" applyBorder="1" applyAlignment="1">
      <alignment horizontal="center" vertical="center" wrapText="1"/>
    </xf>
    <xf numFmtId="9" fontId="0" fillId="0" borderId="3" xfId="0" applyNumberFormat="1" applyBorder="1" applyAlignment="1">
      <alignment horizontal="center" vertical="center" wrapText="1"/>
    </xf>
    <xf numFmtId="9" fontId="10" fillId="0" borderId="3" xfId="0" applyNumberFormat="1" applyFont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/>
    </xf>
    <xf numFmtId="0" fontId="0" fillId="15" borderId="3" xfId="0" applyFill="1" applyBorder="1" applyAlignment="1">
      <alignment vertical="center" wrapText="1"/>
    </xf>
    <xf numFmtId="0" fontId="0" fillId="15" borderId="3" xfId="0" applyFill="1" applyBorder="1" applyAlignment="1">
      <alignment horizontal="center" vertical="center" wrapText="1"/>
    </xf>
    <xf numFmtId="0" fontId="9" fillId="15" borderId="3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 vertical="center" wrapText="1"/>
    </xf>
    <xf numFmtId="9" fontId="10" fillId="15" borderId="3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0" fontId="0" fillId="0" borderId="4" xfId="0" applyNumberFormat="1" applyBorder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2" fillId="16" borderId="5" xfId="0" applyFont="1" applyFill="1" applyBorder="1" applyAlignment="1">
      <alignment horizontal="center" vertical="center" wrapText="1"/>
    </xf>
    <xf numFmtId="0" fontId="2" fillId="16" borderId="8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9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10" fontId="0" fillId="0" borderId="3" xfId="0" applyNumberForma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0" fontId="0" fillId="15" borderId="3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8">
    <dxf>
      <font>
        <b/>
        <i val="0"/>
        <strike val="0"/>
      </font>
      <fill>
        <patternFill>
          <bgColor theme="8" tint="0.79998168889431442"/>
        </patternFill>
      </fill>
    </dxf>
    <dxf>
      <font>
        <b/>
        <i val="0"/>
        <strike val="0"/>
      </font>
      <fill>
        <patternFill>
          <bgColor theme="8" tint="0.59996337778862885"/>
        </patternFill>
      </fill>
    </dxf>
    <dxf>
      <font>
        <b/>
        <i val="0"/>
        <strike val="0"/>
        <color theme="0"/>
      </font>
      <fill>
        <patternFill>
          <bgColor theme="8"/>
        </patternFill>
      </fill>
    </dxf>
    <dxf>
      <font>
        <b/>
        <i val="0"/>
        <strike val="0"/>
        <color theme="0"/>
      </font>
      <fill>
        <patternFill>
          <bgColor theme="8" tint="-0.24994659260841701"/>
        </patternFill>
      </fill>
    </dxf>
    <dxf>
      <font>
        <b/>
        <i val="0"/>
        <strike val="0"/>
        <color theme="0"/>
      </font>
      <fill>
        <patternFill>
          <bgColor theme="9" tint="-0.24994659260841701"/>
        </patternFill>
      </fill>
    </dxf>
    <dxf>
      <font>
        <b/>
        <i val="0"/>
        <strike val="0"/>
        <color theme="0"/>
      </font>
      <fill>
        <patternFill>
          <bgColor theme="7" tint="-0.24994659260841701"/>
        </patternFill>
      </fill>
    </dxf>
    <dxf>
      <font>
        <b/>
        <i val="0"/>
        <strike val="0"/>
        <color theme="0"/>
      </font>
      <fill>
        <patternFill>
          <fgColor theme="5" tint="-0.24994659260841701"/>
          <bgColor theme="5" tint="-0.24994659260841701"/>
        </patternFill>
      </fill>
    </dxf>
    <dxf>
      <font>
        <b/>
        <i val="0"/>
        <strike val="0"/>
        <color theme="0"/>
      </font>
      <fill>
        <patternFill>
          <bgColor rgb="FF800000"/>
        </patternFill>
      </fill>
    </dxf>
  </dxfs>
  <tableStyles count="0" defaultTableStyle="TableStyleMedium2" defaultPivotStyle="PivotStyleLight16"/>
  <colors>
    <mruColors>
      <color rgb="FF800000"/>
      <color rgb="FF6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A9A45-1F3E-4144-82E4-46D8C548FE63}">
  <dimension ref="A1:D4"/>
  <sheetViews>
    <sheetView view="pageBreakPreview" zoomScale="85" zoomScaleNormal="100" zoomScaleSheetLayoutView="85" workbookViewId="0">
      <selection sqref="A1:D4"/>
    </sheetView>
  </sheetViews>
  <sheetFormatPr baseColWidth="10" defaultRowHeight="19.5" customHeight="1" x14ac:dyDescent="0.25"/>
  <cols>
    <col min="1" max="1" width="20.28515625" customWidth="1"/>
    <col min="2" max="2" width="41.5703125" customWidth="1"/>
    <col min="3" max="3" width="50.7109375" customWidth="1"/>
    <col min="4" max="4" width="50.85546875" customWidth="1"/>
  </cols>
  <sheetData>
    <row r="1" spans="1:4" ht="19.5" customHeight="1" x14ac:dyDescent="0.25">
      <c r="A1" s="8" t="s">
        <v>185</v>
      </c>
      <c r="B1" s="8" t="s">
        <v>453</v>
      </c>
      <c r="C1" s="8" t="s">
        <v>454</v>
      </c>
      <c r="D1" s="8" t="s">
        <v>455</v>
      </c>
    </row>
    <row r="2" spans="1:4" ht="100.5" customHeight="1" x14ac:dyDescent="0.25">
      <c r="A2" s="17" t="s">
        <v>467</v>
      </c>
      <c r="B2" s="6" t="s">
        <v>456</v>
      </c>
      <c r="C2" s="6" t="s">
        <v>457</v>
      </c>
      <c r="D2" s="6" t="s">
        <v>458</v>
      </c>
    </row>
    <row r="3" spans="1:4" ht="105" customHeight="1" x14ac:dyDescent="0.25">
      <c r="A3" s="18" t="s">
        <v>465</v>
      </c>
      <c r="B3" s="6" t="s">
        <v>459</v>
      </c>
      <c r="C3" s="6" t="s">
        <v>460</v>
      </c>
      <c r="D3" s="6" t="s">
        <v>461</v>
      </c>
    </row>
    <row r="4" spans="1:4" ht="108" customHeight="1" x14ac:dyDescent="0.25">
      <c r="A4" s="20" t="s">
        <v>466</v>
      </c>
      <c r="B4" s="6" t="s">
        <v>462</v>
      </c>
      <c r="C4" s="6" t="s">
        <v>463</v>
      </c>
      <c r="D4" s="6" t="s">
        <v>464</v>
      </c>
    </row>
  </sheetData>
  <pageMargins left="0.7" right="0.7" top="0.75" bottom="0.75" header="0.3" footer="0.3"/>
  <pageSetup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C664-31B5-4490-881E-2E9E209E6D82}">
  <dimension ref="A1:C5"/>
  <sheetViews>
    <sheetView view="pageBreakPreview" zoomScaleNormal="100" zoomScaleSheetLayoutView="100" workbookViewId="0">
      <selection sqref="A1:C5"/>
    </sheetView>
  </sheetViews>
  <sheetFormatPr baseColWidth="10" defaultColWidth="16.7109375" defaultRowHeight="40.5" customHeight="1" x14ac:dyDescent="0.25"/>
  <cols>
    <col min="2" max="2" width="16.7109375" style="5"/>
    <col min="3" max="3" width="65.85546875" customWidth="1"/>
  </cols>
  <sheetData>
    <row r="1" spans="1:3" ht="21" customHeight="1" x14ac:dyDescent="0.25">
      <c r="A1" s="8" t="s">
        <v>146</v>
      </c>
      <c r="B1" s="8" t="s">
        <v>147</v>
      </c>
      <c r="C1" s="8" t="s">
        <v>148</v>
      </c>
    </row>
    <row r="2" spans="1:3" ht="40.5" customHeight="1" x14ac:dyDescent="0.25">
      <c r="A2" s="17" t="s">
        <v>205</v>
      </c>
      <c r="B2" s="17" t="s">
        <v>149</v>
      </c>
      <c r="C2" s="3" t="s">
        <v>150</v>
      </c>
    </row>
    <row r="3" spans="1:3" ht="40.5" customHeight="1" x14ac:dyDescent="0.25">
      <c r="A3" s="18" t="s">
        <v>206</v>
      </c>
      <c r="B3" s="18" t="s">
        <v>151</v>
      </c>
      <c r="C3" s="3" t="s">
        <v>452</v>
      </c>
    </row>
    <row r="4" spans="1:3" ht="40.5" customHeight="1" x14ac:dyDescent="0.25">
      <c r="A4" s="19" t="s">
        <v>207</v>
      </c>
      <c r="B4" s="19" t="s">
        <v>152</v>
      </c>
      <c r="C4" s="3" t="s">
        <v>153</v>
      </c>
    </row>
    <row r="5" spans="1:3" ht="40.5" customHeight="1" x14ac:dyDescent="0.25">
      <c r="A5" s="20" t="s">
        <v>208</v>
      </c>
      <c r="B5" s="20" t="s">
        <v>160</v>
      </c>
      <c r="C5" s="3" t="s">
        <v>154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2C57-58C1-4F21-8EC2-3B2C2C28169D}">
  <dimension ref="A1:G5"/>
  <sheetViews>
    <sheetView view="pageBreakPreview" zoomScale="85" zoomScaleNormal="100" zoomScaleSheetLayoutView="85" workbookViewId="0">
      <selection activeCell="E7" sqref="E7"/>
    </sheetView>
  </sheetViews>
  <sheetFormatPr baseColWidth="10" defaultRowHeight="39.75" customHeight="1" x14ac:dyDescent="0.25"/>
  <cols>
    <col min="1" max="1" width="11.42578125" style="5"/>
    <col min="2" max="2" width="18.140625" customWidth="1"/>
    <col min="3" max="3" width="30.85546875" style="7" customWidth="1"/>
    <col min="4" max="4" width="33.7109375" style="7" customWidth="1"/>
    <col min="5" max="7" width="30.85546875" style="7" customWidth="1"/>
  </cols>
  <sheetData>
    <row r="1" spans="1:7" ht="39.75" customHeight="1" x14ac:dyDescent="0.25">
      <c r="A1" s="8" t="s">
        <v>161</v>
      </c>
      <c r="B1" s="8" t="s">
        <v>147</v>
      </c>
      <c r="C1" s="9" t="s">
        <v>148</v>
      </c>
      <c r="D1" s="9" t="s">
        <v>185</v>
      </c>
      <c r="E1" s="9" t="s">
        <v>162</v>
      </c>
      <c r="F1" s="9" t="s">
        <v>163</v>
      </c>
      <c r="G1" s="9" t="s">
        <v>164</v>
      </c>
    </row>
    <row r="2" spans="1:7" ht="51" customHeight="1" x14ac:dyDescent="0.25">
      <c r="A2" s="11" t="s">
        <v>165</v>
      </c>
      <c r="B2" s="11" t="s">
        <v>209</v>
      </c>
      <c r="C2" s="6" t="s">
        <v>166</v>
      </c>
      <c r="D2" s="6" t="s">
        <v>167</v>
      </c>
      <c r="E2" s="6" t="s">
        <v>168</v>
      </c>
      <c r="F2" s="6" t="s">
        <v>440</v>
      </c>
      <c r="G2" s="6" t="s">
        <v>169</v>
      </c>
    </row>
    <row r="3" spans="1:7" ht="51" customHeight="1" x14ac:dyDescent="0.25">
      <c r="A3" s="12" t="s">
        <v>170</v>
      </c>
      <c r="B3" s="12" t="s">
        <v>210</v>
      </c>
      <c r="C3" s="6" t="s">
        <v>171</v>
      </c>
      <c r="D3" s="6" t="s">
        <v>172</v>
      </c>
      <c r="E3" s="6" t="s">
        <v>173</v>
      </c>
      <c r="F3" s="6" t="s">
        <v>441</v>
      </c>
      <c r="G3" s="6" t="s">
        <v>174</v>
      </c>
    </row>
    <row r="4" spans="1:7" ht="51" customHeight="1" x14ac:dyDescent="0.25">
      <c r="A4" s="13" t="s">
        <v>175</v>
      </c>
      <c r="B4" s="13" t="s">
        <v>211</v>
      </c>
      <c r="C4" s="6" t="s">
        <v>176</v>
      </c>
      <c r="D4" s="6" t="s">
        <v>177</v>
      </c>
      <c r="E4" s="6" t="s">
        <v>178</v>
      </c>
      <c r="F4" s="6" t="s">
        <v>442</v>
      </c>
      <c r="G4" s="6" t="s">
        <v>179</v>
      </c>
    </row>
    <row r="5" spans="1:7" ht="51" customHeight="1" x14ac:dyDescent="0.25">
      <c r="A5" s="14" t="s">
        <v>180</v>
      </c>
      <c r="B5" s="14" t="s">
        <v>212</v>
      </c>
      <c r="C5" s="6" t="s">
        <v>181</v>
      </c>
      <c r="D5" s="6" t="s">
        <v>182</v>
      </c>
      <c r="E5" s="6" t="s">
        <v>183</v>
      </c>
      <c r="F5" s="6" t="s">
        <v>443</v>
      </c>
      <c r="G5" s="6" t="s">
        <v>184</v>
      </c>
    </row>
  </sheetData>
  <pageMargins left="0.7" right="0.7" top="0.75" bottom="0.75" header="0.3" footer="0.3"/>
  <pageSetup scale="4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2CBFF-7096-472D-A271-100057CD52A6}">
  <dimension ref="A1:C12"/>
  <sheetViews>
    <sheetView view="pageBreakPreview" zoomScaleNormal="100" zoomScaleSheetLayoutView="100" workbookViewId="0">
      <selection activeCell="B11" sqref="B11"/>
    </sheetView>
  </sheetViews>
  <sheetFormatPr baseColWidth="10" defaultColWidth="15.85546875" defaultRowHeight="18.75" customHeight="1" x14ac:dyDescent="0.25"/>
  <cols>
    <col min="1" max="1" width="5.28515625" style="21" customWidth="1"/>
    <col min="2" max="2" width="29.7109375" customWidth="1"/>
    <col min="3" max="3" width="15.85546875" style="5"/>
  </cols>
  <sheetData>
    <row r="1" spans="1:3" ht="28.5" customHeight="1" x14ac:dyDescent="0.25">
      <c r="A1" s="10" t="s">
        <v>141</v>
      </c>
      <c r="B1" s="8" t="s">
        <v>0</v>
      </c>
      <c r="C1" s="8" t="s">
        <v>145</v>
      </c>
    </row>
    <row r="2" spans="1:3" ht="18.75" customHeight="1" x14ac:dyDescent="0.25">
      <c r="A2" s="21">
        <v>1</v>
      </c>
      <c r="B2" s="4" t="s">
        <v>2</v>
      </c>
      <c r="C2" s="28">
        <v>0.15</v>
      </c>
    </row>
    <row r="3" spans="1:3" ht="18.75" customHeight="1" x14ac:dyDescent="0.25">
      <c r="A3" s="21">
        <v>2</v>
      </c>
      <c r="B3" s="4" t="s">
        <v>26</v>
      </c>
      <c r="C3" s="28">
        <v>0.13400000000000001</v>
      </c>
    </row>
    <row r="4" spans="1:3" ht="18.75" customHeight="1" x14ac:dyDescent="0.25">
      <c r="A4" s="21">
        <v>3</v>
      </c>
      <c r="B4" s="4" t="s">
        <v>51</v>
      </c>
      <c r="C4" s="28">
        <v>0.105</v>
      </c>
    </row>
    <row r="5" spans="1:3" ht="18.75" customHeight="1" x14ac:dyDescent="0.25">
      <c r="A5" s="21">
        <v>4</v>
      </c>
      <c r="B5" s="4" t="s">
        <v>73</v>
      </c>
      <c r="C5" s="28">
        <v>0.1</v>
      </c>
    </row>
    <row r="6" spans="1:3" ht="18.75" customHeight="1" x14ac:dyDescent="0.25">
      <c r="A6" s="21">
        <v>5</v>
      </c>
      <c r="B6" s="4" t="s">
        <v>85</v>
      </c>
      <c r="C6" s="28">
        <v>0.11799999999999999</v>
      </c>
    </row>
    <row r="7" spans="1:3" ht="18.75" customHeight="1" x14ac:dyDescent="0.25">
      <c r="A7" s="21">
        <v>6</v>
      </c>
      <c r="B7" s="4" t="s">
        <v>98</v>
      </c>
      <c r="C7" s="28">
        <v>8.3000000000000004E-2</v>
      </c>
    </row>
    <row r="8" spans="1:3" ht="18.75" customHeight="1" x14ac:dyDescent="0.25">
      <c r="A8" s="21">
        <v>7</v>
      </c>
      <c r="B8" s="4" t="s">
        <v>108</v>
      </c>
      <c r="C8" s="28">
        <v>6.5000000000000002E-2</v>
      </c>
    </row>
    <row r="9" spans="1:3" ht="18.75" customHeight="1" x14ac:dyDescent="0.25">
      <c r="A9" s="21">
        <v>8</v>
      </c>
      <c r="B9" s="4" t="s">
        <v>116</v>
      </c>
      <c r="C9" s="28">
        <v>8.2000000000000003E-2</v>
      </c>
    </row>
    <row r="10" spans="1:3" ht="18.75" customHeight="1" x14ac:dyDescent="0.25">
      <c r="A10" s="21">
        <v>9</v>
      </c>
      <c r="B10" s="4" t="s">
        <v>120</v>
      </c>
      <c r="C10" s="28">
        <v>8.2000000000000003E-2</v>
      </c>
    </row>
    <row r="11" spans="1:3" ht="18.75" customHeight="1" x14ac:dyDescent="0.25">
      <c r="A11" s="21">
        <v>10</v>
      </c>
      <c r="B11" s="4" t="s">
        <v>132</v>
      </c>
      <c r="C11" s="28">
        <v>8.5000000000000006E-2</v>
      </c>
    </row>
    <row r="12" spans="1:3" ht="18.75" customHeight="1" x14ac:dyDescent="0.25">
      <c r="A12" s="59" t="s">
        <v>216</v>
      </c>
      <c r="B12" s="59"/>
      <c r="C12" s="27">
        <f>SUM(C2:C11)</f>
        <v>1.0039999999999998</v>
      </c>
    </row>
  </sheetData>
  <mergeCells count="1">
    <mergeCell ref="A12:B1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7827-E8A4-41FC-87C4-97C59DA13E8B}">
  <dimension ref="A1:E65"/>
  <sheetViews>
    <sheetView view="pageBreakPreview" zoomScale="89" zoomScaleNormal="85" zoomScaleSheetLayoutView="89" workbookViewId="0">
      <selection activeCell="D17" sqref="D17"/>
    </sheetView>
  </sheetViews>
  <sheetFormatPr baseColWidth="10" defaultRowHeight="29.25" customHeight="1" x14ac:dyDescent="0.25"/>
  <cols>
    <col min="1" max="1" width="18" customWidth="1"/>
    <col min="2" max="2" width="5.140625" customWidth="1"/>
    <col min="3" max="3" width="33" style="5" customWidth="1"/>
    <col min="4" max="4" width="58" style="5" customWidth="1"/>
    <col min="5" max="5" width="46.28515625" style="5" customWidth="1"/>
  </cols>
  <sheetData>
    <row r="1" spans="1:5" ht="29.25" customHeight="1" x14ac:dyDescent="0.25">
      <c r="A1" s="8" t="s">
        <v>0</v>
      </c>
      <c r="B1" s="8" t="s">
        <v>436</v>
      </c>
      <c r="C1" s="8" t="s">
        <v>156</v>
      </c>
      <c r="D1" s="8" t="s">
        <v>308</v>
      </c>
      <c r="E1" s="8" t="s">
        <v>309</v>
      </c>
    </row>
    <row r="2" spans="1:5" ht="29.25" customHeight="1" x14ac:dyDescent="0.25">
      <c r="A2" s="60" t="s">
        <v>2</v>
      </c>
      <c r="B2" s="29">
        <v>1</v>
      </c>
      <c r="C2" s="1" t="s">
        <v>142</v>
      </c>
      <c r="D2" s="1" t="s">
        <v>310</v>
      </c>
      <c r="E2" s="1" t="s">
        <v>311</v>
      </c>
    </row>
    <row r="3" spans="1:5" ht="29.25" customHeight="1" x14ac:dyDescent="0.25">
      <c r="A3" s="60"/>
      <c r="B3" s="29">
        <v>2</v>
      </c>
      <c r="C3" s="1" t="s">
        <v>3</v>
      </c>
      <c r="D3" s="1" t="s">
        <v>312</v>
      </c>
      <c r="E3" s="1" t="s">
        <v>313</v>
      </c>
    </row>
    <row r="4" spans="1:5" ht="29.25" customHeight="1" x14ac:dyDescent="0.25">
      <c r="A4" s="60"/>
      <c r="B4" s="29">
        <v>3</v>
      </c>
      <c r="C4" s="1" t="s">
        <v>7</v>
      </c>
      <c r="D4" s="1" t="s">
        <v>314</v>
      </c>
      <c r="E4" s="1" t="s">
        <v>315</v>
      </c>
    </row>
    <row r="5" spans="1:5" ht="29.25" customHeight="1" x14ac:dyDescent="0.25">
      <c r="A5" s="60"/>
      <c r="B5" s="29">
        <v>4</v>
      </c>
      <c r="C5" s="1" t="s">
        <v>11</v>
      </c>
      <c r="D5" s="1" t="s">
        <v>316</v>
      </c>
      <c r="E5" s="1" t="s">
        <v>317</v>
      </c>
    </row>
    <row r="6" spans="1:5" ht="29.25" customHeight="1" x14ac:dyDescent="0.25">
      <c r="A6" s="60"/>
      <c r="B6" s="29">
        <v>5</v>
      </c>
      <c r="C6" s="1" t="s">
        <v>143</v>
      </c>
      <c r="D6" s="1" t="s">
        <v>318</v>
      </c>
      <c r="E6" s="1" t="s">
        <v>319</v>
      </c>
    </row>
    <row r="7" spans="1:5" ht="29.25" customHeight="1" x14ac:dyDescent="0.25">
      <c r="A7" s="60"/>
      <c r="B7" s="29">
        <v>6</v>
      </c>
      <c r="C7" s="1" t="s">
        <v>16</v>
      </c>
      <c r="D7" s="1" t="s">
        <v>320</v>
      </c>
      <c r="E7" s="1" t="s">
        <v>321</v>
      </c>
    </row>
    <row r="8" spans="1:5" ht="29.25" customHeight="1" x14ac:dyDescent="0.25">
      <c r="A8" s="60"/>
      <c r="B8" s="29">
        <v>7</v>
      </c>
      <c r="C8" s="1" t="s">
        <v>144</v>
      </c>
      <c r="D8" s="1" t="s">
        <v>322</v>
      </c>
      <c r="E8" s="1" t="s">
        <v>323</v>
      </c>
    </row>
    <row r="9" spans="1:5" ht="29.25" customHeight="1" x14ac:dyDescent="0.25">
      <c r="A9" s="60"/>
      <c r="B9" s="29">
        <v>8</v>
      </c>
      <c r="C9" s="1" t="s">
        <v>22</v>
      </c>
      <c r="D9" s="1" t="s">
        <v>324</v>
      </c>
      <c r="E9" s="1" t="s">
        <v>325</v>
      </c>
    </row>
    <row r="10" spans="1:5" ht="29.25" customHeight="1" x14ac:dyDescent="0.25">
      <c r="A10" s="60" t="s">
        <v>26</v>
      </c>
      <c r="B10" s="29">
        <v>9</v>
      </c>
      <c r="C10" s="1" t="s">
        <v>27</v>
      </c>
      <c r="D10" s="1" t="s">
        <v>326</v>
      </c>
      <c r="E10" s="1" t="s">
        <v>327</v>
      </c>
    </row>
    <row r="11" spans="1:5" ht="29.25" customHeight="1" x14ac:dyDescent="0.25">
      <c r="A11" s="60"/>
      <c r="B11" s="29">
        <v>10</v>
      </c>
      <c r="C11" s="1" t="s">
        <v>31</v>
      </c>
      <c r="D11" s="1" t="s">
        <v>328</v>
      </c>
      <c r="E11" s="1" t="s">
        <v>329</v>
      </c>
    </row>
    <row r="12" spans="1:5" ht="29.25" customHeight="1" x14ac:dyDescent="0.25">
      <c r="A12" s="60"/>
      <c r="B12" s="29">
        <v>11</v>
      </c>
      <c r="C12" s="1" t="s">
        <v>32</v>
      </c>
      <c r="D12" s="1" t="s">
        <v>330</v>
      </c>
      <c r="E12" s="1" t="s">
        <v>331</v>
      </c>
    </row>
    <row r="13" spans="1:5" ht="29.25" customHeight="1" x14ac:dyDescent="0.25">
      <c r="A13" s="60"/>
      <c r="B13" s="29">
        <v>12</v>
      </c>
      <c r="C13" s="1" t="s">
        <v>36</v>
      </c>
      <c r="D13" s="1" t="s">
        <v>332</v>
      </c>
      <c r="E13" s="1" t="s">
        <v>333</v>
      </c>
    </row>
    <row r="14" spans="1:5" ht="29.25" customHeight="1" x14ac:dyDescent="0.25">
      <c r="A14" s="60"/>
      <c r="B14" s="29">
        <v>13</v>
      </c>
      <c r="C14" s="1" t="s">
        <v>40</v>
      </c>
      <c r="D14" s="1" t="s">
        <v>334</v>
      </c>
      <c r="E14" s="1" t="s">
        <v>335</v>
      </c>
    </row>
    <row r="15" spans="1:5" ht="29.25" customHeight="1" x14ac:dyDescent="0.25">
      <c r="A15" s="60"/>
      <c r="B15" s="29">
        <v>14</v>
      </c>
      <c r="C15" s="1" t="s">
        <v>43</v>
      </c>
      <c r="D15" s="1" t="s">
        <v>336</v>
      </c>
      <c r="E15" s="1" t="s">
        <v>337</v>
      </c>
    </row>
    <row r="16" spans="1:5" ht="29.25" customHeight="1" x14ac:dyDescent="0.25">
      <c r="A16" s="60"/>
      <c r="B16" s="29">
        <v>15</v>
      </c>
      <c r="C16" s="1" t="s">
        <v>46</v>
      </c>
      <c r="D16" s="1" t="s">
        <v>338</v>
      </c>
      <c r="E16" s="1" t="s">
        <v>339</v>
      </c>
    </row>
    <row r="17" spans="1:5" ht="29.25" customHeight="1" x14ac:dyDescent="0.25">
      <c r="A17" s="60"/>
      <c r="B17" s="29">
        <v>16</v>
      </c>
      <c r="C17" s="1" t="s">
        <v>47</v>
      </c>
      <c r="D17" s="1" t="s">
        <v>340</v>
      </c>
      <c r="E17" s="1" t="s">
        <v>341</v>
      </c>
    </row>
    <row r="18" spans="1:5" ht="29.25" customHeight="1" x14ac:dyDescent="0.25">
      <c r="A18" s="60" t="s">
        <v>51</v>
      </c>
      <c r="B18" s="29">
        <v>17</v>
      </c>
      <c r="C18" s="1" t="s">
        <v>52</v>
      </c>
      <c r="D18" s="1" t="s">
        <v>342</v>
      </c>
      <c r="E18" s="1" t="s">
        <v>343</v>
      </c>
    </row>
    <row r="19" spans="1:5" ht="29.25" customHeight="1" x14ac:dyDescent="0.25">
      <c r="A19" s="60"/>
      <c r="B19" s="29">
        <v>18</v>
      </c>
      <c r="C19" s="1" t="s">
        <v>56</v>
      </c>
      <c r="D19" s="1" t="s">
        <v>344</v>
      </c>
      <c r="E19" s="1" t="s">
        <v>345</v>
      </c>
    </row>
    <row r="20" spans="1:5" ht="29.25" customHeight="1" x14ac:dyDescent="0.25">
      <c r="A20" s="60"/>
      <c r="B20" s="29">
        <v>19</v>
      </c>
      <c r="C20" s="1" t="s">
        <v>346</v>
      </c>
      <c r="D20" s="1" t="s">
        <v>347</v>
      </c>
      <c r="E20" s="1" t="s">
        <v>348</v>
      </c>
    </row>
    <row r="21" spans="1:5" ht="29.25" customHeight="1" x14ac:dyDescent="0.25">
      <c r="A21" s="60"/>
      <c r="B21" s="29">
        <v>20</v>
      </c>
      <c r="C21" s="1" t="s">
        <v>157</v>
      </c>
      <c r="D21" s="1" t="s">
        <v>349</v>
      </c>
      <c r="E21" s="1" t="s">
        <v>350</v>
      </c>
    </row>
    <row r="22" spans="1:5" ht="29.25" customHeight="1" x14ac:dyDescent="0.25">
      <c r="A22" s="60"/>
      <c r="B22" s="29">
        <v>21</v>
      </c>
      <c r="C22" s="1" t="s">
        <v>351</v>
      </c>
      <c r="D22" s="1" t="s">
        <v>352</v>
      </c>
      <c r="E22" s="1" t="s">
        <v>438</v>
      </c>
    </row>
    <row r="23" spans="1:5" ht="29.25" customHeight="1" x14ac:dyDescent="0.25">
      <c r="A23" s="60"/>
      <c r="B23" s="29">
        <v>22</v>
      </c>
      <c r="C23" s="1" t="s">
        <v>65</v>
      </c>
      <c r="D23" s="1" t="s">
        <v>353</v>
      </c>
      <c r="E23" s="1" t="s">
        <v>439</v>
      </c>
    </row>
    <row r="24" spans="1:5" ht="29.25" customHeight="1" x14ac:dyDescent="0.25">
      <c r="A24" s="60"/>
      <c r="B24" s="29">
        <v>23</v>
      </c>
      <c r="C24" s="1" t="s">
        <v>67</v>
      </c>
      <c r="D24" s="1" t="s">
        <v>354</v>
      </c>
      <c r="E24" s="1" t="s">
        <v>355</v>
      </c>
    </row>
    <row r="25" spans="1:5" ht="29.25" customHeight="1" x14ac:dyDescent="0.25">
      <c r="A25" s="60"/>
      <c r="B25" s="29">
        <v>24</v>
      </c>
      <c r="C25" s="1" t="s">
        <v>68</v>
      </c>
      <c r="D25" s="1" t="s">
        <v>356</v>
      </c>
      <c r="E25" s="1" t="s">
        <v>357</v>
      </c>
    </row>
    <row r="26" spans="1:5" ht="29.25" customHeight="1" x14ac:dyDescent="0.25">
      <c r="A26" s="60"/>
      <c r="B26" s="29">
        <v>25</v>
      </c>
      <c r="C26" s="1" t="s">
        <v>69</v>
      </c>
      <c r="D26" s="1" t="s">
        <v>358</v>
      </c>
      <c r="E26" s="1" t="s">
        <v>359</v>
      </c>
    </row>
    <row r="27" spans="1:5" ht="29.25" customHeight="1" x14ac:dyDescent="0.25">
      <c r="A27" s="60" t="s">
        <v>73</v>
      </c>
      <c r="B27" s="29">
        <v>26</v>
      </c>
      <c r="C27" s="1" t="s">
        <v>74</v>
      </c>
      <c r="D27" s="1" t="s">
        <v>360</v>
      </c>
      <c r="E27" s="1" t="s">
        <v>361</v>
      </c>
    </row>
    <row r="28" spans="1:5" ht="29.25" customHeight="1" x14ac:dyDescent="0.25">
      <c r="A28" s="60"/>
      <c r="B28" s="29">
        <v>27</v>
      </c>
      <c r="C28" s="1" t="s">
        <v>77</v>
      </c>
      <c r="D28" s="1" t="s">
        <v>362</v>
      </c>
      <c r="E28" s="1" t="s">
        <v>363</v>
      </c>
    </row>
    <row r="29" spans="1:5" ht="29.25" customHeight="1" x14ac:dyDescent="0.25">
      <c r="A29" s="60"/>
      <c r="B29" s="29">
        <v>28</v>
      </c>
      <c r="C29" s="1" t="s">
        <v>81</v>
      </c>
      <c r="D29" s="1" t="s">
        <v>364</v>
      </c>
      <c r="E29" s="1" t="s">
        <v>365</v>
      </c>
    </row>
    <row r="30" spans="1:5" ht="29.25" customHeight="1" x14ac:dyDescent="0.25">
      <c r="A30" s="60" t="s">
        <v>85</v>
      </c>
      <c r="B30" s="29">
        <v>29</v>
      </c>
      <c r="C30" s="1" t="s">
        <v>86</v>
      </c>
      <c r="D30" s="1" t="s">
        <v>366</v>
      </c>
      <c r="E30" s="1" t="s">
        <v>367</v>
      </c>
    </row>
    <row r="31" spans="1:5" ht="29.25" customHeight="1" x14ac:dyDescent="0.25">
      <c r="A31" s="60"/>
      <c r="B31" s="29">
        <v>30</v>
      </c>
      <c r="C31" s="1" t="s">
        <v>89</v>
      </c>
      <c r="D31" s="1" t="s">
        <v>368</v>
      </c>
      <c r="E31" s="1" t="s">
        <v>369</v>
      </c>
    </row>
    <row r="32" spans="1:5" ht="29.25" customHeight="1" x14ac:dyDescent="0.25">
      <c r="A32" s="60"/>
      <c r="B32" s="29">
        <v>31</v>
      </c>
      <c r="C32" s="1" t="s">
        <v>370</v>
      </c>
      <c r="D32" s="1" t="s">
        <v>371</v>
      </c>
      <c r="E32" s="1" t="s">
        <v>372</v>
      </c>
    </row>
    <row r="33" spans="1:5" ht="29.25" customHeight="1" x14ac:dyDescent="0.25">
      <c r="A33" s="60"/>
      <c r="B33" s="29">
        <v>32</v>
      </c>
      <c r="C33" s="1" t="s">
        <v>95</v>
      </c>
      <c r="D33" s="1" t="s">
        <v>373</v>
      </c>
      <c r="E33" s="1" t="s">
        <v>367</v>
      </c>
    </row>
    <row r="34" spans="1:5" ht="29.25" customHeight="1" x14ac:dyDescent="0.25">
      <c r="A34" s="60"/>
      <c r="B34" s="29">
        <v>33</v>
      </c>
      <c r="C34" s="1" t="s">
        <v>96</v>
      </c>
      <c r="D34" s="1" t="s">
        <v>374</v>
      </c>
      <c r="E34" s="1" t="s">
        <v>375</v>
      </c>
    </row>
    <row r="35" spans="1:5" ht="29.25" customHeight="1" x14ac:dyDescent="0.25">
      <c r="A35" s="60"/>
      <c r="B35" s="29">
        <v>34</v>
      </c>
      <c r="C35" s="1" t="s">
        <v>97</v>
      </c>
      <c r="D35" s="1" t="s">
        <v>376</v>
      </c>
      <c r="E35" s="1" t="s">
        <v>377</v>
      </c>
    </row>
    <row r="36" spans="1:5" ht="29.25" customHeight="1" x14ac:dyDescent="0.25">
      <c r="A36" s="60" t="s">
        <v>98</v>
      </c>
      <c r="B36" s="29">
        <v>35</v>
      </c>
      <c r="C36" s="1" t="s">
        <v>99</v>
      </c>
      <c r="D36" s="1" t="s">
        <v>378</v>
      </c>
      <c r="E36" s="1" t="s">
        <v>379</v>
      </c>
    </row>
    <row r="37" spans="1:5" ht="29.25" customHeight="1" x14ac:dyDescent="0.25">
      <c r="A37" s="60"/>
      <c r="B37" s="29">
        <v>36</v>
      </c>
      <c r="C37" s="1" t="s">
        <v>380</v>
      </c>
      <c r="D37" s="1" t="s">
        <v>381</v>
      </c>
      <c r="E37" s="1" t="s">
        <v>382</v>
      </c>
    </row>
    <row r="38" spans="1:5" ht="29.25" customHeight="1" x14ac:dyDescent="0.25">
      <c r="A38" s="60"/>
      <c r="B38" s="29">
        <v>37</v>
      </c>
      <c r="C38" s="1" t="s">
        <v>158</v>
      </c>
      <c r="D38" s="1" t="s">
        <v>383</v>
      </c>
      <c r="E38" s="1" t="s">
        <v>384</v>
      </c>
    </row>
    <row r="39" spans="1:5" ht="29.25" customHeight="1" x14ac:dyDescent="0.25">
      <c r="A39" s="60"/>
      <c r="B39" s="29">
        <v>38</v>
      </c>
      <c r="C39" s="1" t="s">
        <v>106</v>
      </c>
      <c r="D39" s="1" t="s">
        <v>385</v>
      </c>
      <c r="E39" s="1" t="s">
        <v>386</v>
      </c>
    </row>
    <row r="40" spans="1:5" ht="29.25" customHeight="1" x14ac:dyDescent="0.25">
      <c r="A40" s="60"/>
      <c r="B40" s="29">
        <v>39</v>
      </c>
      <c r="C40" s="1" t="s">
        <v>387</v>
      </c>
      <c r="D40" s="1" t="s">
        <v>388</v>
      </c>
      <c r="E40" s="1" t="s">
        <v>389</v>
      </c>
    </row>
    <row r="41" spans="1:5" ht="29.25" customHeight="1" x14ac:dyDescent="0.25">
      <c r="A41" s="60" t="s">
        <v>108</v>
      </c>
      <c r="B41" s="29">
        <v>40</v>
      </c>
      <c r="C41" s="1" t="s">
        <v>390</v>
      </c>
      <c r="D41" s="1" t="s">
        <v>391</v>
      </c>
      <c r="E41" s="1" t="s">
        <v>367</v>
      </c>
    </row>
    <row r="42" spans="1:5" ht="29.25" customHeight="1" x14ac:dyDescent="0.25">
      <c r="A42" s="60"/>
      <c r="B42" s="29">
        <v>41</v>
      </c>
      <c r="C42" s="1" t="s">
        <v>109</v>
      </c>
      <c r="D42" s="1" t="s">
        <v>392</v>
      </c>
      <c r="E42" s="1" t="s">
        <v>393</v>
      </c>
    </row>
    <row r="43" spans="1:5" ht="29.25" customHeight="1" x14ac:dyDescent="0.25">
      <c r="A43" s="60"/>
      <c r="B43" s="29">
        <v>42</v>
      </c>
      <c r="C43" s="1" t="s">
        <v>111</v>
      </c>
      <c r="D43" s="1" t="s">
        <v>394</v>
      </c>
      <c r="E43" s="1" t="s">
        <v>367</v>
      </c>
    </row>
    <row r="44" spans="1:5" ht="29.25" customHeight="1" x14ac:dyDescent="0.25">
      <c r="A44" s="60"/>
      <c r="B44" s="29">
        <v>43</v>
      </c>
      <c r="C44" s="1" t="s">
        <v>115</v>
      </c>
      <c r="D44" s="1" t="s">
        <v>395</v>
      </c>
      <c r="E44" s="1" t="s">
        <v>367</v>
      </c>
    </row>
    <row r="45" spans="1:5" ht="29.25" customHeight="1" x14ac:dyDescent="0.25">
      <c r="A45" s="60"/>
      <c r="B45" s="29">
        <v>44</v>
      </c>
      <c r="C45" s="1" t="s">
        <v>396</v>
      </c>
      <c r="D45" s="1" t="s">
        <v>397</v>
      </c>
      <c r="E45" s="1" t="s">
        <v>386</v>
      </c>
    </row>
    <row r="46" spans="1:5" ht="29.25" customHeight="1" x14ac:dyDescent="0.25">
      <c r="A46" s="60" t="s">
        <v>116</v>
      </c>
      <c r="B46" s="29">
        <v>45</v>
      </c>
      <c r="C46" s="1" t="s">
        <v>398</v>
      </c>
      <c r="D46" s="1" t="s">
        <v>399</v>
      </c>
      <c r="E46" s="1" t="s">
        <v>367</v>
      </c>
    </row>
    <row r="47" spans="1:5" ht="29.25" customHeight="1" x14ac:dyDescent="0.25">
      <c r="A47" s="60"/>
      <c r="B47" s="29">
        <v>46</v>
      </c>
      <c r="C47" s="1" t="s">
        <v>117</v>
      </c>
      <c r="D47" s="1" t="s">
        <v>400</v>
      </c>
      <c r="E47" s="1" t="s">
        <v>401</v>
      </c>
    </row>
    <row r="48" spans="1:5" ht="29.25" customHeight="1" x14ac:dyDescent="0.25">
      <c r="A48" s="60"/>
      <c r="B48" s="29">
        <v>47</v>
      </c>
      <c r="C48" s="1" t="s">
        <v>118</v>
      </c>
      <c r="D48" s="1" t="s">
        <v>402</v>
      </c>
      <c r="E48" s="1" t="s">
        <v>403</v>
      </c>
    </row>
    <row r="49" spans="1:5" ht="29.25" customHeight="1" x14ac:dyDescent="0.25">
      <c r="A49" s="60"/>
      <c r="B49" s="29">
        <v>48</v>
      </c>
      <c r="C49" s="1" t="s">
        <v>404</v>
      </c>
      <c r="D49" s="1" t="s">
        <v>405</v>
      </c>
      <c r="E49" s="1" t="s">
        <v>406</v>
      </c>
    </row>
    <row r="50" spans="1:5" ht="29.25" customHeight="1" x14ac:dyDescent="0.25">
      <c r="A50" s="60"/>
      <c r="B50" s="29">
        <v>49</v>
      </c>
      <c r="C50" s="1" t="s">
        <v>407</v>
      </c>
      <c r="D50" s="1" t="s">
        <v>408</v>
      </c>
      <c r="E50" s="1" t="s">
        <v>409</v>
      </c>
    </row>
    <row r="51" spans="1:5" ht="29.25" customHeight="1" x14ac:dyDescent="0.25">
      <c r="A51" s="60"/>
      <c r="B51" s="29">
        <v>50</v>
      </c>
      <c r="C51" s="1" t="s">
        <v>119</v>
      </c>
      <c r="D51" s="1" t="s">
        <v>410</v>
      </c>
      <c r="E51" s="1" t="s">
        <v>411</v>
      </c>
    </row>
    <row r="52" spans="1:5" ht="29.25" customHeight="1" x14ac:dyDescent="0.25">
      <c r="A52" s="60" t="s">
        <v>120</v>
      </c>
      <c r="B52" s="29">
        <v>51</v>
      </c>
      <c r="C52" s="1" t="s">
        <v>159</v>
      </c>
      <c r="D52" s="1" t="s">
        <v>412</v>
      </c>
      <c r="E52" s="1" t="s">
        <v>413</v>
      </c>
    </row>
    <row r="53" spans="1:5" ht="29.25" customHeight="1" x14ac:dyDescent="0.25">
      <c r="A53" s="60"/>
      <c r="B53" s="29">
        <v>52</v>
      </c>
      <c r="C53" s="1" t="s">
        <v>122</v>
      </c>
      <c r="D53" s="1" t="s">
        <v>414</v>
      </c>
      <c r="E53" s="1" t="s">
        <v>415</v>
      </c>
    </row>
    <row r="54" spans="1:5" ht="29.25" customHeight="1" x14ac:dyDescent="0.25">
      <c r="A54" s="60"/>
      <c r="B54" s="29">
        <v>53</v>
      </c>
      <c r="C54" s="1" t="s">
        <v>125</v>
      </c>
      <c r="D54" s="1" t="s">
        <v>416</v>
      </c>
      <c r="E54" s="1" t="s">
        <v>417</v>
      </c>
    </row>
    <row r="55" spans="1:5" ht="29.25" customHeight="1" x14ac:dyDescent="0.25">
      <c r="A55" s="60"/>
      <c r="B55" s="29">
        <v>54</v>
      </c>
      <c r="C55" s="1" t="s">
        <v>418</v>
      </c>
      <c r="D55" s="1" t="s">
        <v>419</v>
      </c>
      <c r="E55" s="1" t="s">
        <v>420</v>
      </c>
    </row>
    <row r="56" spans="1:5" ht="29.25" customHeight="1" x14ac:dyDescent="0.25">
      <c r="A56" s="60"/>
      <c r="B56" s="29">
        <v>55</v>
      </c>
      <c r="C56" s="1" t="s">
        <v>421</v>
      </c>
      <c r="D56" s="1" t="s">
        <v>422</v>
      </c>
      <c r="E56" s="1" t="s">
        <v>393</v>
      </c>
    </row>
    <row r="57" spans="1:5" ht="29.25" customHeight="1" x14ac:dyDescent="0.25">
      <c r="A57" s="60"/>
      <c r="B57" s="29">
        <v>56</v>
      </c>
      <c r="C57" s="1" t="s">
        <v>131</v>
      </c>
      <c r="D57" s="1" t="s">
        <v>423</v>
      </c>
      <c r="E57" s="1" t="s">
        <v>386</v>
      </c>
    </row>
    <row r="58" spans="1:5" ht="29.25" customHeight="1" x14ac:dyDescent="0.25">
      <c r="A58" s="60" t="s">
        <v>132</v>
      </c>
      <c r="B58" s="29">
        <v>57</v>
      </c>
      <c r="C58" s="1" t="s">
        <v>133</v>
      </c>
      <c r="D58" s="1" t="s">
        <v>424</v>
      </c>
      <c r="E58" s="1" t="s">
        <v>386</v>
      </c>
    </row>
    <row r="59" spans="1:5" ht="29.25" customHeight="1" x14ac:dyDescent="0.25">
      <c r="A59" s="60"/>
      <c r="B59" s="29">
        <v>58</v>
      </c>
      <c r="C59" s="1" t="s">
        <v>134</v>
      </c>
      <c r="D59" s="1" t="s">
        <v>425</v>
      </c>
      <c r="E59" s="1" t="s">
        <v>386</v>
      </c>
    </row>
    <row r="60" spans="1:5" ht="29.25" customHeight="1" x14ac:dyDescent="0.25">
      <c r="A60" s="60"/>
      <c r="B60" s="29">
        <v>59</v>
      </c>
      <c r="C60" s="1" t="s">
        <v>287</v>
      </c>
      <c r="D60" s="1" t="s">
        <v>426</v>
      </c>
      <c r="E60" s="1" t="s">
        <v>386</v>
      </c>
    </row>
    <row r="61" spans="1:5" ht="29.25" customHeight="1" x14ac:dyDescent="0.25">
      <c r="A61" s="60"/>
      <c r="B61" s="29">
        <v>60</v>
      </c>
      <c r="C61" s="1" t="s">
        <v>135</v>
      </c>
      <c r="D61" s="1" t="s">
        <v>427</v>
      </c>
      <c r="E61" s="1" t="s">
        <v>428</v>
      </c>
    </row>
    <row r="62" spans="1:5" ht="29.25" customHeight="1" x14ac:dyDescent="0.25">
      <c r="A62" s="60"/>
      <c r="B62" s="29">
        <v>61</v>
      </c>
      <c r="C62" s="1" t="s">
        <v>137</v>
      </c>
      <c r="D62" s="1" t="s">
        <v>429</v>
      </c>
      <c r="E62" s="1" t="s">
        <v>386</v>
      </c>
    </row>
    <row r="63" spans="1:5" ht="29.25" customHeight="1" x14ac:dyDescent="0.25">
      <c r="A63" s="60"/>
      <c r="B63" s="29">
        <v>62</v>
      </c>
      <c r="C63" s="1" t="s">
        <v>139</v>
      </c>
      <c r="D63" s="1" t="s">
        <v>430</v>
      </c>
      <c r="E63" s="1" t="s">
        <v>431</v>
      </c>
    </row>
    <row r="64" spans="1:5" ht="29.25" customHeight="1" x14ac:dyDescent="0.25">
      <c r="A64" s="60"/>
      <c r="B64" s="29">
        <v>63</v>
      </c>
      <c r="C64" s="1" t="s">
        <v>290</v>
      </c>
      <c r="D64" s="1" t="s">
        <v>432</v>
      </c>
      <c r="E64" s="1" t="s">
        <v>433</v>
      </c>
    </row>
    <row r="65" spans="1:5" ht="29.25" customHeight="1" x14ac:dyDescent="0.25">
      <c r="A65" s="60"/>
      <c r="B65" s="29">
        <v>64</v>
      </c>
      <c r="C65" s="1" t="s">
        <v>140</v>
      </c>
      <c r="D65" s="1" t="s">
        <v>434</v>
      </c>
      <c r="E65" s="1" t="s">
        <v>435</v>
      </c>
    </row>
  </sheetData>
  <mergeCells count="10">
    <mergeCell ref="A41:A45"/>
    <mergeCell ref="A46:A51"/>
    <mergeCell ref="A52:A57"/>
    <mergeCell ref="A58:A65"/>
    <mergeCell ref="A2:A9"/>
    <mergeCell ref="A10:A17"/>
    <mergeCell ref="A18:A26"/>
    <mergeCell ref="A27:A29"/>
    <mergeCell ref="A30:A35"/>
    <mergeCell ref="A36:A40"/>
  </mergeCells>
  <pageMargins left="0.7" right="0.7" top="0.75" bottom="0.75" header="0.3" footer="0.3"/>
  <pageSetup scale="3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2FF2-0D2D-4C31-8BC2-D9AB7590B8E0}">
  <dimension ref="A1:N68"/>
  <sheetViews>
    <sheetView tabSelected="1" view="pageBreakPreview" topLeftCell="A62" zoomScale="85" zoomScaleNormal="70" zoomScaleSheetLayoutView="85" workbookViewId="0">
      <selection activeCell="E3" sqref="E3:E66"/>
    </sheetView>
  </sheetViews>
  <sheetFormatPr baseColWidth="10" defaultColWidth="16.5703125" defaultRowHeight="24" customHeight="1" x14ac:dyDescent="0.25"/>
  <cols>
    <col min="2" max="2" width="5.42578125" style="21" customWidth="1"/>
    <col min="3" max="3" width="42.28515625" customWidth="1"/>
    <col min="4" max="4" width="20.28515625" style="5" customWidth="1"/>
    <col min="5" max="5" width="9.5703125" style="5" customWidth="1"/>
    <col min="6" max="6" width="20.42578125" style="5" customWidth="1"/>
    <col min="7" max="7" width="9.85546875" style="5" customWidth="1"/>
    <col min="8" max="8" width="19.7109375" style="5" customWidth="1"/>
    <col min="9" max="9" width="9.28515625" style="5" customWidth="1"/>
    <col min="10" max="10" width="13.140625" style="5" customWidth="1"/>
    <col min="11" max="11" width="10.28515625" style="5" customWidth="1"/>
    <col min="12" max="12" width="13.85546875" style="5" customWidth="1"/>
    <col min="13" max="13" width="10.140625" style="21" customWidth="1"/>
  </cols>
  <sheetData>
    <row r="1" spans="1:14" ht="24" customHeight="1" x14ac:dyDescent="0.25">
      <c r="A1" s="62" t="s">
        <v>445</v>
      </c>
      <c r="B1" s="62"/>
      <c r="C1" s="63"/>
      <c r="D1" s="64" t="s">
        <v>446</v>
      </c>
      <c r="E1" s="65"/>
      <c r="F1" s="65"/>
      <c r="G1" s="65"/>
      <c r="H1" s="65"/>
      <c r="I1" s="66"/>
      <c r="J1" s="64" t="s">
        <v>447</v>
      </c>
      <c r="K1" s="66"/>
      <c r="L1" s="67" t="s">
        <v>448</v>
      </c>
      <c r="M1" s="67"/>
    </row>
    <row r="2" spans="1:14" ht="30.75" customHeight="1" x14ac:dyDescent="0.25">
      <c r="A2" s="54" t="s">
        <v>0</v>
      </c>
      <c r="B2" s="55" t="s">
        <v>23</v>
      </c>
      <c r="C2" s="55" t="s">
        <v>1</v>
      </c>
      <c r="D2" s="55" t="s">
        <v>215</v>
      </c>
      <c r="E2" s="56" t="s">
        <v>155</v>
      </c>
      <c r="F2" s="55" t="s">
        <v>151</v>
      </c>
      <c r="G2" s="57" t="s">
        <v>155</v>
      </c>
      <c r="H2" s="55" t="s">
        <v>72</v>
      </c>
      <c r="I2" s="58" t="s">
        <v>155</v>
      </c>
      <c r="J2" s="71" t="s">
        <v>450</v>
      </c>
      <c r="K2" s="69"/>
      <c r="L2" s="69" t="s">
        <v>451</v>
      </c>
      <c r="M2" s="70"/>
    </row>
    <row r="3" spans="1:14" ht="33.75" customHeight="1" x14ac:dyDescent="0.25">
      <c r="A3" s="77" t="s">
        <v>2</v>
      </c>
      <c r="B3" s="48">
        <v>1</v>
      </c>
      <c r="C3" s="49" t="s">
        <v>142</v>
      </c>
      <c r="D3" s="50" t="s">
        <v>298</v>
      </c>
      <c r="E3" s="51"/>
      <c r="F3" s="50" t="s">
        <v>299</v>
      </c>
      <c r="G3" s="52"/>
      <c r="H3" s="50" t="s">
        <v>300</v>
      </c>
      <c r="I3" s="53"/>
      <c r="J3" s="61">
        <v>2.1000000000000001E-2</v>
      </c>
      <c r="K3" s="61"/>
      <c r="L3" s="61">
        <v>8.6999999999999994E-3</v>
      </c>
      <c r="M3" s="61"/>
    </row>
    <row r="4" spans="1:14" ht="24" customHeight="1" x14ac:dyDescent="0.25">
      <c r="A4" s="74"/>
      <c r="B4" s="32">
        <v>2</v>
      </c>
      <c r="C4" s="33" t="s">
        <v>468</v>
      </c>
      <c r="D4" s="34" t="s">
        <v>4</v>
      </c>
      <c r="E4" s="35"/>
      <c r="F4" s="34" t="s">
        <v>5</v>
      </c>
      <c r="G4" s="36"/>
      <c r="H4" s="34" t="s">
        <v>6</v>
      </c>
      <c r="I4" s="37"/>
      <c r="J4" s="68">
        <v>2.1000000000000001E-2</v>
      </c>
      <c r="K4" s="68"/>
      <c r="L4" s="68">
        <v>1.2999999999999999E-2</v>
      </c>
      <c r="M4" s="68"/>
    </row>
    <row r="5" spans="1:14" ht="24" customHeight="1" x14ac:dyDescent="0.25">
      <c r="A5" s="74"/>
      <c r="B5" s="32">
        <v>3</v>
      </c>
      <c r="C5" s="33" t="s">
        <v>7</v>
      </c>
      <c r="D5" s="34" t="s">
        <v>8</v>
      </c>
      <c r="E5" s="35"/>
      <c r="F5" s="34" t="s">
        <v>9</v>
      </c>
      <c r="G5" s="36"/>
      <c r="H5" s="34" t="s">
        <v>10</v>
      </c>
      <c r="I5" s="37"/>
      <c r="J5" s="68">
        <v>1.7000000000000001E-2</v>
      </c>
      <c r="K5" s="68"/>
      <c r="L5" s="68">
        <v>1.41E-2</v>
      </c>
      <c r="M5" s="68"/>
    </row>
    <row r="6" spans="1:14" ht="24" customHeight="1" x14ac:dyDescent="0.25">
      <c r="A6" s="74"/>
      <c r="B6" s="32">
        <v>4</v>
      </c>
      <c r="C6" s="33" t="s">
        <v>11</v>
      </c>
      <c r="D6" s="34" t="s">
        <v>12</v>
      </c>
      <c r="E6" s="35"/>
      <c r="F6" s="34" t="s">
        <v>13</v>
      </c>
      <c r="G6" s="36"/>
      <c r="H6" s="34" t="s">
        <v>14</v>
      </c>
      <c r="I6" s="37"/>
      <c r="J6" s="68">
        <v>2.5000000000000001E-2</v>
      </c>
      <c r="K6" s="68"/>
      <c r="L6" s="68">
        <v>1.6299999999999999E-2</v>
      </c>
      <c r="M6" s="68"/>
    </row>
    <row r="7" spans="1:14" ht="24" customHeight="1" x14ac:dyDescent="0.25">
      <c r="A7" s="74"/>
      <c r="B7" s="32">
        <v>5</v>
      </c>
      <c r="C7" s="33" t="s">
        <v>143</v>
      </c>
      <c r="D7" s="34" t="s">
        <v>222</v>
      </c>
      <c r="E7" s="35"/>
      <c r="F7" s="34" t="s">
        <v>223</v>
      </c>
      <c r="G7" s="36"/>
      <c r="H7" s="34" t="s">
        <v>224</v>
      </c>
      <c r="I7" s="37"/>
      <c r="J7" s="68">
        <v>1.7000000000000001E-2</v>
      </c>
      <c r="K7" s="68"/>
      <c r="L7" s="68">
        <v>1.2999999999999999E-2</v>
      </c>
      <c r="M7" s="68"/>
    </row>
    <row r="8" spans="1:14" ht="24" customHeight="1" x14ac:dyDescent="0.25">
      <c r="A8" s="74"/>
      <c r="B8" s="32">
        <v>6</v>
      </c>
      <c r="C8" s="33" t="s">
        <v>16</v>
      </c>
      <c r="D8" s="34">
        <v>0</v>
      </c>
      <c r="E8" s="35"/>
      <c r="F8" s="34" t="s">
        <v>17</v>
      </c>
      <c r="G8" s="36"/>
      <c r="H8" s="34" t="s">
        <v>18</v>
      </c>
      <c r="I8" s="37"/>
      <c r="J8" s="68">
        <v>1.7000000000000001E-2</v>
      </c>
      <c r="K8" s="68"/>
      <c r="L8" s="68">
        <v>1.52E-2</v>
      </c>
      <c r="M8" s="68"/>
      <c r="N8" t="s">
        <v>468</v>
      </c>
    </row>
    <row r="9" spans="1:14" ht="24" customHeight="1" x14ac:dyDescent="0.25">
      <c r="A9" s="74"/>
      <c r="B9" s="32">
        <v>7</v>
      </c>
      <c r="C9" s="33" t="s">
        <v>144</v>
      </c>
      <c r="D9" s="34" t="s">
        <v>19</v>
      </c>
      <c r="E9" s="35"/>
      <c r="F9" s="34" t="s">
        <v>20</v>
      </c>
      <c r="G9" s="36"/>
      <c r="H9" s="34" t="s">
        <v>21</v>
      </c>
      <c r="I9" s="37"/>
      <c r="J9" s="68">
        <v>1.7000000000000001E-2</v>
      </c>
      <c r="K9" s="68"/>
      <c r="L9" s="68">
        <v>1.6299999999999999E-2</v>
      </c>
      <c r="M9" s="68"/>
    </row>
    <row r="10" spans="1:14" ht="24" customHeight="1" x14ac:dyDescent="0.25">
      <c r="A10" s="74"/>
      <c r="B10" s="32">
        <v>8</v>
      </c>
      <c r="C10" s="33" t="s">
        <v>22</v>
      </c>
      <c r="D10" s="34" t="s">
        <v>23</v>
      </c>
      <c r="E10" s="35"/>
      <c r="F10" s="34" t="s">
        <v>24</v>
      </c>
      <c r="G10" s="36"/>
      <c r="H10" s="34" t="s">
        <v>25</v>
      </c>
      <c r="I10" s="37"/>
      <c r="J10" s="68">
        <v>1.4999999999999999E-2</v>
      </c>
      <c r="K10" s="68"/>
      <c r="L10" s="68">
        <v>1.52E-2</v>
      </c>
      <c r="M10" s="68"/>
    </row>
    <row r="11" spans="1:14" ht="24" customHeight="1" x14ac:dyDescent="0.25">
      <c r="A11" s="75" t="s">
        <v>26</v>
      </c>
      <c r="B11" s="41">
        <v>9</v>
      </c>
      <c r="C11" s="42" t="s">
        <v>27</v>
      </c>
      <c r="D11" s="43" t="s">
        <v>28</v>
      </c>
      <c r="E11" s="44"/>
      <c r="F11" s="43" t="s">
        <v>29</v>
      </c>
      <c r="G11" s="45"/>
      <c r="H11" s="43" t="s">
        <v>30</v>
      </c>
      <c r="I11" s="46"/>
      <c r="J11" s="72">
        <v>1.7000000000000001E-2</v>
      </c>
      <c r="K11" s="72"/>
      <c r="L11" s="72">
        <v>1.2999999999999999E-2</v>
      </c>
      <c r="M11" s="72"/>
    </row>
    <row r="12" spans="1:14" ht="33.75" customHeight="1" x14ac:dyDescent="0.25">
      <c r="A12" s="75"/>
      <c r="B12" s="41">
        <v>10</v>
      </c>
      <c r="C12" s="42" t="s">
        <v>31</v>
      </c>
      <c r="D12" s="43" t="s">
        <v>302</v>
      </c>
      <c r="E12" s="44"/>
      <c r="F12" s="43" t="s">
        <v>301</v>
      </c>
      <c r="G12" s="45"/>
      <c r="H12" s="43" t="s">
        <v>303</v>
      </c>
      <c r="I12" s="46"/>
      <c r="J12" s="72">
        <v>1.7000000000000001E-2</v>
      </c>
      <c r="K12" s="72"/>
      <c r="L12" s="72">
        <v>1.41E-2</v>
      </c>
      <c r="M12" s="72"/>
    </row>
    <row r="13" spans="1:14" ht="24" customHeight="1" x14ac:dyDescent="0.25">
      <c r="A13" s="75"/>
      <c r="B13" s="41">
        <v>11</v>
      </c>
      <c r="C13" s="42" t="s">
        <v>32</v>
      </c>
      <c r="D13" s="43" t="s">
        <v>33</v>
      </c>
      <c r="E13" s="44"/>
      <c r="F13" s="43" t="s">
        <v>34</v>
      </c>
      <c r="G13" s="45"/>
      <c r="H13" s="43" t="s">
        <v>35</v>
      </c>
      <c r="I13" s="46"/>
      <c r="J13" s="72">
        <v>1.7000000000000001E-2</v>
      </c>
      <c r="K13" s="72"/>
      <c r="L13" s="72">
        <v>1.52E-2</v>
      </c>
      <c r="M13" s="72"/>
    </row>
    <row r="14" spans="1:14" ht="24" customHeight="1" x14ac:dyDescent="0.25">
      <c r="A14" s="75"/>
      <c r="B14" s="41">
        <v>12</v>
      </c>
      <c r="C14" s="42" t="s">
        <v>36</v>
      </c>
      <c r="D14" s="43" t="s">
        <v>37</v>
      </c>
      <c r="E14" s="44"/>
      <c r="F14" s="43" t="s">
        <v>38</v>
      </c>
      <c r="G14" s="45"/>
      <c r="H14" s="43" t="s">
        <v>39</v>
      </c>
      <c r="I14" s="46"/>
      <c r="J14" s="72">
        <v>2.5000000000000001E-2</v>
      </c>
      <c r="K14" s="72"/>
      <c r="L14" s="72">
        <v>1.8499999999999999E-2</v>
      </c>
      <c r="M14" s="72"/>
    </row>
    <row r="15" spans="1:14" ht="24" customHeight="1" x14ac:dyDescent="0.25">
      <c r="A15" s="75"/>
      <c r="B15" s="41">
        <v>13</v>
      </c>
      <c r="C15" s="42" t="s">
        <v>40</v>
      </c>
      <c r="D15" s="43" t="s">
        <v>23</v>
      </c>
      <c r="E15" s="44"/>
      <c r="F15" s="43" t="s">
        <v>41</v>
      </c>
      <c r="G15" s="45"/>
      <c r="H15" s="43" t="s">
        <v>42</v>
      </c>
      <c r="I15" s="46"/>
      <c r="J15" s="72">
        <v>1.7000000000000001E-2</v>
      </c>
      <c r="K15" s="72"/>
      <c r="L15" s="72">
        <v>1.6299999999999999E-2</v>
      </c>
      <c r="M15" s="72"/>
    </row>
    <row r="16" spans="1:14" ht="24" customHeight="1" x14ac:dyDescent="0.25">
      <c r="A16" s="75"/>
      <c r="B16" s="41">
        <v>14</v>
      </c>
      <c r="C16" s="42" t="s">
        <v>43</v>
      </c>
      <c r="D16" s="43" t="s">
        <v>23</v>
      </c>
      <c r="E16" s="44"/>
      <c r="F16" s="43" t="s">
        <v>44</v>
      </c>
      <c r="G16" s="45"/>
      <c r="H16" s="43" t="s">
        <v>45</v>
      </c>
      <c r="I16" s="46"/>
      <c r="J16" s="72">
        <v>2.1000000000000001E-2</v>
      </c>
      <c r="K16" s="72"/>
      <c r="L16" s="72">
        <v>1.8499999999999999E-2</v>
      </c>
      <c r="M16" s="72"/>
    </row>
    <row r="17" spans="1:13" ht="47.25" customHeight="1" x14ac:dyDescent="0.25">
      <c r="A17" s="75"/>
      <c r="B17" s="41">
        <v>15</v>
      </c>
      <c r="C17" s="42" t="s">
        <v>304</v>
      </c>
      <c r="D17" s="43" t="s">
        <v>306</v>
      </c>
      <c r="E17" s="44"/>
      <c r="F17" s="43" t="s">
        <v>264</v>
      </c>
      <c r="G17" s="45"/>
      <c r="H17" s="43" t="s">
        <v>305</v>
      </c>
      <c r="I17" s="46"/>
      <c r="J17" s="72">
        <v>1.2E-2</v>
      </c>
      <c r="K17" s="72"/>
      <c r="L17" s="72">
        <v>1.7399999999999999E-2</v>
      </c>
      <c r="M17" s="72"/>
    </row>
    <row r="18" spans="1:13" ht="24" customHeight="1" x14ac:dyDescent="0.25">
      <c r="A18" s="75"/>
      <c r="B18" s="41">
        <v>16</v>
      </c>
      <c r="C18" s="42" t="s">
        <v>47</v>
      </c>
      <c r="D18" s="43" t="s">
        <v>48</v>
      </c>
      <c r="E18" s="44"/>
      <c r="F18" s="43" t="s">
        <v>49</v>
      </c>
      <c r="G18" s="45"/>
      <c r="H18" s="43" t="s">
        <v>50</v>
      </c>
      <c r="I18" s="46"/>
      <c r="J18" s="72">
        <v>8.0000000000000002E-3</v>
      </c>
      <c r="K18" s="72"/>
      <c r="L18" s="72">
        <v>1.6299999999999999E-2</v>
      </c>
      <c r="M18" s="72"/>
    </row>
    <row r="19" spans="1:13" ht="24" customHeight="1" x14ac:dyDescent="0.25">
      <c r="A19" s="74" t="s">
        <v>51</v>
      </c>
      <c r="B19" s="32">
        <v>17</v>
      </c>
      <c r="C19" s="33" t="s">
        <v>52</v>
      </c>
      <c r="D19" s="34" t="s">
        <v>53</v>
      </c>
      <c r="E19" s="35"/>
      <c r="F19" s="34" t="s">
        <v>54</v>
      </c>
      <c r="G19" s="36"/>
      <c r="H19" s="34" t="s">
        <v>55</v>
      </c>
      <c r="I19" s="37"/>
      <c r="J19" s="68">
        <v>1.2E-2</v>
      </c>
      <c r="K19" s="68"/>
      <c r="L19" s="68">
        <v>6.4999999999999997E-3</v>
      </c>
      <c r="M19" s="68"/>
    </row>
    <row r="20" spans="1:13" ht="24" customHeight="1" x14ac:dyDescent="0.25">
      <c r="A20" s="74"/>
      <c r="B20" s="32">
        <v>18</v>
      </c>
      <c r="C20" s="33" t="s">
        <v>56</v>
      </c>
      <c r="D20" s="34" t="s">
        <v>228</v>
      </c>
      <c r="E20" s="35"/>
      <c r="F20" s="34" t="s">
        <v>229</v>
      </c>
      <c r="G20" s="36"/>
      <c r="H20" s="34" t="s">
        <v>230</v>
      </c>
      <c r="I20" s="37"/>
      <c r="J20" s="68">
        <v>1.2E-2</v>
      </c>
      <c r="K20" s="68"/>
      <c r="L20" s="68">
        <v>5.4000000000000003E-3</v>
      </c>
      <c r="M20" s="68"/>
    </row>
    <row r="21" spans="1:13" ht="24" customHeight="1" x14ac:dyDescent="0.25">
      <c r="A21" s="74"/>
      <c r="B21" s="32">
        <v>19</v>
      </c>
      <c r="C21" s="33" t="s">
        <v>225</v>
      </c>
      <c r="D21" s="34" t="s">
        <v>227</v>
      </c>
      <c r="E21" s="35"/>
      <c r="F21" s="38" t="s">
        <v>226</v>
      </c>
      <c r="G21" s="36"/>
      <c r="H21" s="34" t="s">
        <v>35</v>
      </c>
      <c r="I21" s="37"/>
      <c r="J21" s="68">
        <v>1.7000000000000001E-2</v>
      </c>
      <c r="K21" s="68"/>
      <c r="L21" s="68">
        <v>7.6E-3</v>
      </c>
      <c r="M21" s="68"/>
    </row>
    <row r="22" spans="1:13" ht="24" customHeight="1" x14ac:dyDescent="0.25">
      <c r="A22" s="74"/>
      <c r="B22" s="32">
        <v>20</v>
      </c>
      <c r="C22" s="33" t="s">
        <v>57</v>
      </c>
      <c r="D22" s="34" t="s">
        <v>58</v>
      </c>
      <c r="E22" s="35"/>
      <c r="F22" s="34" t="s">
        <v>59</v>
      </c>
      <c r="G22" s="36"/>
      <c r="H22" s="34" t="s">
        <v>60</v>
      </c>
      <c r="I22" s="37"/>
      <c r="J22" s="68">
        <v>1.7000000000000001E-2</v>
      </c>
      <c r="K22" s="68"/>
      <c r="L22" s="68">
        <v>1.2999999999999999E-2</v>
      </c>
      <c r="M22" s="68"/>
    </row>
    <row r="23" spans="1:13" ht="24" customHeight="1" x14ac:dyDescent="0.25">
      <c r="A23" s="74"/>
      <c r="B23" s="32">
        <v>21</v>
      </c>
      <c r="C23" s="33" t="s">
        <v>61</v>
      </c>
      <c r="D23" s="34" t="s">
        <v>62</v>
      </c>
      <c r="E23" s="35"/>
      <c r="F23" s="34" t="s">
        <v>63</v>
      </c>
      <c r="G23" s="36"/>
      <c r="H23" s="34" t="s">
        <v>64</v>
      </c>
      <c r="I23" s="37"/>
      <c r="J23" s="68">
        <v>1.7000000000000001E-2</v>
      </c>
      <c r="K23" s="68"/>
      <c r="L23" s="68">
        <v>1.52E-2</v>
      </c>
      <c r="M23" s="68"/>
    </row>
    <row r="24" spans="1:13" ht="24" customHeight="1" x14ac:dyDescent="0.25">
      <c r="A24" s="74"/>
      <c r="B24" s="32">
        <v>22</v>
      </c>
      <c r="C24" s="33" t="s">
        <v>65</v>
      </c>
      <c r="D24" s="34">
        <v>1</v>
      </c>
      <c r="E24" s="35"/>
      <c r="F24" s="34" t="s">
        <v>66</v>
      </c>
      <c r="G24" s="36"/>
      <c r="H24" s="34" t="s">
        <v>18</v>
      </c>
      <c r="I24" s="37"/>
      <c r="J24" s="68">
        <v>8.0000000000000002E-3</v>
      </c>
      <c r="K24" s="68"/>
      <c r="L24" s="68">
        <v>1.41E-2</v>
      </c>
      <c r="M24" s="68"/>
    </row>
    <row r="25" spans="1:13" ht="32.25" customHeight="1" x14ac:dyDescent="0.25">
      <c r="A25" s="74"/>
      <c r="B25" s="32">
        <v>23</v>
      </c>
      <c r="C25" s="33" t="s">
        <v>67</v>
      </c>
      <c r="D25" s="34" t="s">
        <v>231</v>
      </c>
      <c r="E25" s="35"/>
      <c r="F25" s="34" t="s">
        <v>232</v>
      </c>
      <c r="G25" s="36"/>
      <c r="H25" s="34" t="s">
        <v>233</v>
      </c>
      <c r="I25" s="37"/>
      <c r="J25" s="68">
        <v>1.2E-2</v>
      </c>
      <c r="K25" s="68"/>
      <c r="L25" s="68">
        <v>1.52E-2</v>
      </c>
      <c r="M25" s="68"/>
    </row>
    <row r="26" spans="1:13" ht="30.75" customHeight="1" x14ac:dyDescent="0.25">
      <c r="A26" s="74"/>
      <c r="B26" s="32">
        <v>24</v>
      </c>
      <c r="C26" s="33" t="s">
        <v>68</v>
      </c>
      <c r="D26" s="34" t="s">
        <v>234</v>
      </c>
      <c r="E26" s="35"/>
      <c r="F26" s="34" t="s">
        <v>235</v>
      </c>
      <c r="G26" s="36"/>
      <c r="H26" s="34" t="s">
        <v>236</v>
      </c>
      <c r="I26" s="37"/>
      <c r="J26" s="68">
        <v>6.0000000000000001E-3</v>
      </c>
      <c r="K26" s="68"/>
      <c r="L26" s="68">
        <v>1.09E-2</v>
      </c>
      <c r="M26" s="68"/>
    </row>
    <row r="27" spans="1:13" ht="24" customHeight="1" x14ac:dyDescent="0.25">
      <c r="A27" s="74"/>
      <c r="B27" s="32">
        <v>25</v>
      </c>
      <c r="C27" s="33" t="s">
        <v>69</v>
      </c>
      <c r="D27" s="34" t="s">
        <v>70</v>
      </c>
      <c r="E27" s="35"/>
      <c r="F27" s="34" t="s">
        <v>71</v>
      </c>
      <c r="G27" s="36"/>
      <c r="H27" s="34" t="s">
        <v>72</v>
      </c>
      <c r="I27" s="37"/>
      <c r="J27" s="68">
        <v>4.0000000000000001E-3</v>
      </c>
      <c r="K27" s="68"/>
      <c r="L27" s="68">
        <v>1.6299999999999999E-2</v>
      </c>
      <c r="M27" s="68"/>
    </row>
    <row r="28" spans="1:13" ht="24" customHeight="1" x14ac:dyDescent="0.25">
      <c r="A28" s="75" t="s">
        <v>73</v>
      </c>
      <c r="B28" s="41">
        <v>26</v>
      </c>
      <c r="C28" s="42" t="s">
        <v>74</v>
      </c>
      <c r="D28" s="43" t="s">
        <v>15</v>
      </c>
      <c r="E28" s="44"/>
      <c r="F28" s="43" t="s">
        <v>75</v>
      </c>
      <c r="G28" s="45"/>
      <c r="H28" s="43" t="s">
        <v>76</v>
      </c>
      <c r="I28" s="46"/>
      <c r="J28" s="72">
        <v>4.2000000000000003E-2</v>
      </c>
      <c r="K28" s="72"/>
      <c r="L28" s="72">
        <v>1.8499999999999999E-2</v>
      </c>
      <c r="M28" s="72"/>
    </row>
    <row r="29" spans="1:13" ht="24" customHeight="1" x14ac:dyDescent="0.25">
      <c r="A29" s="75"/>
      <c r="B29" s="41">
        <v>27</v>
      </c>
      <c r="C29" s="42" t="s">
        <v>77</v>
      </c>
      <c r="D29" s="43" t="s">
        <v>78</v>
      </c>
      <c r="E29" s="44"/>
      <c r="F29" s="43" t="s">
        <v>79</v>
      </c>
      <c r="G29" s="45"/>
      <c r="H29" s="43" t="s">
        <v>80</v>
      </c>
      <c r="I29" s="46"/>
      <c r="J29" s="72">
        <v>2.5000000000000001E-2</v>
      </c>
      <c r="K29" s="72"/>
      <c r="L29" s="72">
        <v>1.6299999999999999E-2</v>
      </c>
      <c r="M29" s="72"/>
    </row>
    <row r="30" spans="1:13" ht="24" customHeight="1" x14ac:dyDescent="0.25">
      <c r="A30" s="75"/>
      <c r="B30" s="41">
        <v>28</v>
      </c>
      <c r="C30" s="42" t="s">
        <v>81</v>
      </c>
      <c r="D30" s="43" t="s">
        <v>82</v>
      </c>
      <c r="E30" s="44"/>
      <c r="F30" s="43" t="s">
        <v>83</v>
      </c>
      <c r="G30" s="45"/>
      <c r="H30" s="43" t="s">
        <v>84</v>
      </c>
      <c r="I30" s="46"/>
      <c r="J30" s="72">
        <v>3.3000000000000002E-2</v>
      </c>
      <c r="K30" s="72"/>
      <c r="L30" s="72">
        <v>1.7399999999999999E-2</v>
      </c>
      <c r="M30" s="72"/>
    </row>
    <row r="31" spans="1:13" ht="24" customHeight="1" x14ac:dyDescent="0.25">
      <c r="A31" s="74" t="s">
        <v>85</v>
      </c>
      <c r="B31" s="32">
        <v>29</v>
      </c>
      <c r="C31" s="33" t="s">
        <v>86</v>
      </c>
      <c r="D31" s="34" t="s">
        <v>28</v>
      </c>
      <c r="E31" s="35"/>
      <c r="F31" s="34" t="s">
        <v>87</v>
      </c>
      <c r="G31" s="36"/>
      <c r="H31" s="34" t="s">
        <v>88</v>
      </c>
      <c r="I31" s="37"/>
      <c r="J31" s="68">
        <v>1.7000000000000001E-2</v>
      </c>
      <c r="K31" s="68"/>
      <c r="L31" s="68">
        <v>1.52E-2</v>
      </c>
      <c r="M31" s="68"/>
    </row>
    <row r="32" spans="1:13" ht="24" customHeight="1" x14ac:dyDescent="0.25">
      <c r="A32" s="74"/>
      <c r="B32" s="32">
        <v>30</v>
      </c>
      <c r="C32" s="33" t="s">
        <v>89</v>
      </c>
      <c r="D32" s="34" t="s">
        <v>90</v>
      </c>
      <c r="E32" s="35"/>
      <c r="F32" s="34" t="s">
        <v>91</v>
      </c>
      <c r="G32" s="36"/>
      <c r="H32" s="34" t="s">
        <v>92</v>
      </c>
      <c r="I32" s="37"/>
      <c r="J32" s="68">
        <v>1.7000000000000001E-2</v>
      </c>
      <c r="K32" s="68"/>
      <c r="L32" s="68">
        <v>1.6299999999999999E-2</v>
      </c>
      <c r="M32" s="68"/>
    </row>
    <row r="33" spans="1:13" ht="24" customHeight="1" x14ac:dyDescent="0.25">
      <c r="A33" s="74"/>
      <c r="B33" s="32">
        <v>31</v>
      </c>
      <c r="C33" s="33" t="s">
        <v>93</v>
      </c>
      <c r="D33" s="34">
        <v>0</v>
      </c>
      <c r="E33" s="35"/>
      <c r="F33" s="34" t="s">
        <v>33</v>
      </c>
      <c r="G33" s="36"/>
      <c r="H33" s="34" t="s">
        <v>94</v>
      </c>
      <c r="I33" s="37"/>
      <c r="J33" s="68">
        <v>3.3000000000000002E-2</v>
      </c>
      <c r="K33" s="68"/>
      <c r="L33" s="68">
        <v>1.9599999999999999E-2</v>
      </c>
      <c r="M33" s="68"/>
    </row>
    <row r="34" spans="1:13" ht="24" customHeight="1" x14ac:dyDescent="0.25">
      <c r="A34" s="74"/>
      <c r="B34" s="32">
        <v>32</v>
      </c>
      <c r="C34" s="33" t="s">
        <v>95</v>
      </c>
      <c r="D34" s="34" t="s">
        <v>28</v>
      </c>
      <c r="E34" s="35"/>
      <c r="F34" s="34" t="s">
        <v>29</v>
      </c>
      <c r="G34" s="36"/>
      <c r="H34" s="34" t="s">
        <v>30</v>
      </c>
      <c r="I34" s="37"/>
      <c r="J34" s="68">
        <v>1.7000000000000001E-2</v>
      </c>
      <c r="K34" s="68"/>
      <c r="L34" s="68">
        <v>1.52E-2</v>
      </c>
      <c r="M34" s="68"/>
    </row>
    <row r="35" spans="1:13" ht="30" customHeight="1" x14ac:dyDescent="0.25">
      <c r="A35" s="74"/>
      <c r="B35" s="32">
        <v>33</v>
      </c>
      <c r="C35" s="33" t="s">
        <v>237</v>
      </c>
      <c r="D35" s="34" t="s">
        <v>238</v>
      </c>
      <c r="E35" s="35"/>
      <c r="F35" s="34" t="s">
        <v>239</v>
      </c>
      <c r="G35" s="36"/>
      <c r="H35" s="34" t="s">
        <v>240</v>
      </c>
      <c r="I35" s="37"/>
      <c r="J35" s="68">
        <v>1.7000000000000001E-2</v>
      </c>
      <c r="K35" s="68"/>
      <c r="L35" s="68">
        <v>1.6299999999999999E-2</v>
      </c>
      <c r="M35" s="68"/>
    </row>
    <row r="36" spans="1:13" ht="34.5" customHeight="1" x14ac:dyDescent="0.25">
      <c r="A36" s="74"/>
      <c r="B36" s="32">
        <v>34</v>
      </c>
      <c r="C36" s="33" t="s">
        <v>97</v>
      </c>
      <c r="D36" s="34" t="s">
        <v>241</v>
      </c>
      <c r="E36" s="35"/>
      <c r="F36" s="34" t="s">
        <v>242</v>
      </c>
      <c r="G36" s="36"/>
      <c r="H36" s="34" t="s">
        <v>243</v>
      </c>
      <c r="I36" s="37"/>
      <c r="J36" s="68">
        <v>1.7000000000000001E-2</v>
      </c>
      <c r="K36" s="68"/>
      <c r="L36" s="68">
        <v>1.9599999999999999E-2</v>
      </c>
      <c r="M36" s="68"/>
    </row>
    <row r="37" spans="1:13" ht="24" customHeight="1" x14ac:dyDescent="0.25">
      <c r="A37" s="75" t="s">
        <v>98</v>
      </c>
      <c r="B37" s="41">
        <v>35</v>
      </c>
      <c r="C37" s="42" t="s">
        <v>244</v>
      </c>
      <c r="D37" s="43">
        <v>0</v>
      </c>
      <c r="E37" s="44"/>
      <c r="F37" s="43" t="s">
        <v>100</v>
      </c>
      <c r="G37" s="45"/>
      <c r="H37" s="43" t="s">
        <v>55</v>
      </c>
      <c r="I37" s="46"/>
      <c r="J37" s="72">
        <v>2.5000000000000001E-2</v>
      </c>
      <c r="K37" s="72"/>
      <c r="L37" s="72">
        <v>1.8499999999999999E-2</v>
      </c>
      <c r="M37" s="72"/>
    </row>
    <row r="38" spans="1:13" ht="24" customHeight="1" x14ac:dyDescent="0.25">
      <c r="A38" s="75"/>
      <c r="B38" s="41">
        <v>36</v>
      </c>
      <c r="C38" s="42" t="s">
        <v>101</v>
      </c>
      <c r="D38" s="43" t="s">
        <v>102</v>
      </c>
      <c r="E38" s="44"/>
      <c r="F38" s="43" t="s">
        <v>66</v>
      </c>
      <c r="G38" s="45"/>
      <c r="H38" s="43" t="s">
        <v>18</v>
      </c>
      <c r="I38" s="46"/>
      <c r="J38" s="72">
        <v>1.7000000000000001E-2</v>
      </c>
      <c r="K38" s="72"/>
      <c r="L38" s="72">
        <v>1.6299999999999999E-2</v>
      </c>
      <c r="M38" s="72"/>
    </row>
    <row r="39" spans="1:13" ht="24" customHeight="1" x14ac:dyDescent="0.25">
      <c r="A39" s="75"/>
      <c r="B39" s="41">
        <v>37</v>
      </c>
      <c r="C39" s="42" t="s">
        <v>103</v>
      </c>
      <c r="D39" s="43" t="s">
        <v>104</v>
      </c>
      <c r="E39" s="44"/>
      <c r="F39" s="43" t="s">
        <v>105</v>
      </c>
      <c r="G39" s="45"/>
      <c r="H39" s="43" t="s">
        <v>80</v>
      </c>
      <c r="I39" s="46"/>
      <c r="J39" s="72">
        <v>2.5000000000000001E-2</v>
      </c>
      <c r="K39" s="72"/>
      <c r="L39" s="72">
        <v>1.8499999999999999E-2</v>
      </c>
      <c r="M39" s="72"/>
    </row>
    <row r="40" spans="1:13" ht="24" customHeight="1" x14ac:dyDescent="0.25">
      <c r="A40" s="75"/>
      <c r="B40" s="41">
        <v>38</v>
      </c>
      <c r="C40" s="42" t="s">
        <v>106</v>
      </c>
      <c r="D40" s="43" t="s">
        <v>245</v>
      </c>
      <c r="E40" s="44"/>
      <c r="F40" s="43" t="s">
        <v>246</v>
      </c>
      <c r="G40" s="45"/>
      <c r="H40" s="43" t="s">
        <v>247</v>
      </c>
      <c r="I40" s="46"/>
      <c r="J40" s="72">
        <v>8.0000000000000002E-3</v>
      </c>
      <c r="K40" s="72"/>
      <c r="L40" s="72">
        <v>1.7399999999999999E-2</v>
      </c>
      <c r="M40" s="72"/>
    </row>
    <row r="41" spans="1:13" ht="24" customHeight="1" x14ac:dyDescent="0.25">
      <c r="A41" s="75"/>
      <c r="B41" s="41">
        <v>39</v>
      </c>
      <c r="C41" s="42" t="s">
        <v>107</v>
      </c>
      <c r="D41" s="43" t="s">
        <v>248</v>
      </c>
      <c r="E41" s="44"/>
      <c r="F41" s="43" t="s">
        <v>249</v>
      </c>
      <c r="G41" s="45"/>
      <c r="H41" s="43" t="s">
        <v>250</v>
      </c>
      <c r="I41" s="46"/>
      <c r="J41" s="72">
        <v>8.0000000000000002E-3</v>
      </c>
      <c r="K41" s="72"/>
      <c r="L41" s="72">
        <v>1.2999999999999999E-2</v>
      </c>
      <c r="M41" s="72"/>
    </row>
    <row r="42" spans="1:13" ht="24" customHeight="1" x14ac:dyDescent="0.25">
      <c r="A42" s="74" t="s">
        <v>108</v>
      </c>
      <c r="B42" s="32">
        <v>40</v>
      </c>
      <c r="C42" s="33" t="s">
        <v>251</v>
      </c>
      <c r="D42" s="34" t="s">
        <v>82</v>
      </c>
      <c r="E42" s="35"/>
      <c r="F42" s="39">
        <v>0.2</v>
      </c>
      <c r="G42" s="40"/>
      <c r="H42" s="39">
        <v>0.5</v>
      </c>
      <c r="I42" s="37"/>
      <c r="J42" s="68">
        <v>1.7000000000000001E-2</v>
      </c>
      <c r="K42" s="68"/>
      <c r="L42" s="68">
        <v>1.41E-2</v>
      </c>
      <c r="M42" s="68"/>
    </row>
    <row r="43" spans="1:13" ht="24" customHeight="1" x14ac:dyDescent="0.25">
      <c r="A43" s="74"/>
      <c r="B43" s="32">
        <v>41</v>
      </c>
      <c r="C43" s="33" t="s">
        <v>109</v>
      </c>
      <c r="D43" s="34" t="s">
        <v>110</v>
      </c>
      <c r="E43" s="35"/>
      <c r="F43" s="34" t="s">
        <v>59</v>
      </c>
      <c r="G43" s="36"/>
      <c r="H43" s="34" t="s">
        <v>60</v>
      </c>
      <c r="I43" s="37"/>
      <c r="J43" s="68">
        <v>1.2E-2</v>
      </c>
      <c r="K43" s="68"/>
      <c r="L43" s="68">
        <v>1.52E-2</v>
      </c>
      <c r="M43" s="68"/>
    </row>
    <row r="44" spans="1:13" ht="24" customHeight="1" x14ac:dyDescent="0.25">
      <c r="A44" s="74"/>
      <c r="B44" s="32">
        <v>42</v>
      </c>
      <c r="C44" s="33" t="s">
        <v>111</v>
      </c>
      <c r="D44" s="34" t="s">
        <v>112</v>
      </c>
      <c r="E44" s="35"/>
      <c r="F44" s="34" t="s">
        <v>113</v>
      </c>
      <c r="G44" s="36"/>
      <c r="H44" s="34" t="s">
        <v>114</v>
      </c>
      <c r="I44" s="37"/>
      <c r="J44" s="68">
        <v>1.2E-2</v>
      </c>
      <c r="K44" s="68"/>
      <c r="L44" s="68">
        <v>1.7399999999999999E-2</v>
      </c>
      <c r="M44" s="68"/>
    </row>
    <row r="45" spans="1:13" ht="24" customHeight="1" x14ac:dyDescent="0.25">
      <c r="A45" s="74"/>
      <c r="B45" s="32">
        <v>43</v>
      </c>
      <c r="C45" s="33" t="s">
        <v>115</v>
      </c>
      <c r="D45" s="34" t="s">
        <v>252</v>
      </c>
      <c r="E45" s="35"/>
      <c r="F45" s="34" t="s">
        <v>253</v>
      </c>
      <c r="G45" s="36"/>
      <c r="H45" s="34" t="s">
        <v>254</v>
      </c>
      <c r="I45" s="37"/>
      <c r="J45" s="68">
        <v>1.2E-2</v>
      </c>
      <c r="K45" s="68"/>
      <c r="L45" s="68">
        <v>1.8499999999999999E-2</v>
      </c>
      <c r="M45" s="68"/>
    </row>
    <row r="46" spans="1:13" ht="24" customHeight="1" x14ac:dyDescent="0.25">
      <c r="A46" s="74"/>
      <c r="B46" s="32">
        <v>44</v>
      </c>
      <c r="C46" s="33" t="s">
        <v>255</v>
      </c>
      <c r="D46" s="34" t="s">
        <v>256</v>
      </c>
      <c r="E46" s="35"/>
      <c r="F46" s="34" t="s">
        <v>257</v>
      </c>
      <c r="G46" s="36"/>
      <c r="H46" s="34" t="s">
        <v>258</v>
      </c>
      <c r="I46" s="37"/>
      <c r="J46" s="68">
        <v>1.2E-2</v>
      </c>
      <c r="K46" s="68"/>
      <c r="L46" s="68">
        <v>1.7399999999999999E-2</v>
      </c>
      <c r="M46" s="68"/>
    </row>
    <row r="47" spans="1:13" ht="24" customHeight="1" x14ac:dyDescent="0.25">
      <c r="A47" s="75" t="s">
        <v>116</v>
      </c>
      <c r="B47" s="41">
        <v>45</v>
      </c>
      <c r="C47" s="42" t="s">
        <v>259</v>
      </c>
      <c r="D47" s="43" t="s">
        <v>260</v>
      </c>
      <c r="E47" s="44"/>
      <c r="F47" s="43" t="s">
        <v>261</v>
      </c>
      <c r="G47" s="47"/>
      <c r="H47" s="43" t="s">
        <v>262</v>
      </c>
      <c r="I47" s="46"/>
      <c r="J47" s="72">
        <v>1.7000000000000001E-2</v>
      </c>
      <c r="K47" s="72"/>
      <c r="L47" s="72">
        <v>1.8499999999999999E-2</v>
      </c>
      <c r="M47" s="72"/>
    </row>
    <row r="48" spans="1:13" ht="24" customHeight="1" x14ac:dyDescent="0.25">
      <c r="A48" s="75"/>
      <c r="B48" s="41">
        <v>46</v>
      </c>
      <c r="C48" s="42" t="s">
        <v>263</v>
      </c>
      <c r="D48" s="43" t="s">
        <v>256</v>
      </c>
      <c r="E48" s="44"/>
      <c r="F48" s="43" t="s">
        <v>264</v>
      </c>
      <c r="G48" s="45"/>
      <c r="H48" s="43" t="s">
        <v>265</v>
      </c>
      <c r="I48" s="46"/>
      <c r="J48" s="72">
        <v>1.7000000000000001E-2</v>
      </c>
      <c r="K48" s="72"/>
      <c r="L48" s="72">
        <v>1.9599999999999999E-2</v>
      </c>
      <c r="M48" s="72"/>
    </row>
    <row r="49" spans="1:13" ht="32.25" customHeight="1" x14ac:dyDescent="0.25">
      <c r="A49" s="75"/>
      <c r="B49" s="41">
        <v>47</v>
      </c>
      <c r="C49" s="42" t="s">
        <v>266</v>
      </c>
      <c r="D49" s="43" t="s">
        <v>267</v>
      </c>
      <c r="E49" s="44"/>
      <c r="F49" s="43" t="s">
        <v>268</v>
      </c>
      <c r="G49" s="45"/>
      <c r="H49" s="43" t="s">
        <v>269</v>
      </c>
      <c r="I49" s="46"/>
      <c r="J49" s="72">
        <v>1.2E-2</v>
      </c>
      <c r="K49" s="72"/>
      <c r="L49" s="72">
        <v>1.8499999999999999E-2</v>
      </c>
      <c r="M49" s="72"/>
    </row>
    <row r="50" spans="1:13" ht="33.75" customHeight="1" x14ac:dyDescent="0.25">
      <c r="A50" s="75"/>
      <c r="B50" s="41">
        <v>48</v>
      </c>
      <c r="C50" s="42" t="s">
        <v>270</v>
      </c>
      <c r="D50" s="43" t="s">
        <v>271</v>
      </c>
      <c r="E50" s="44"/>
      <c r="F50" s="43" t="s">
        <v>272</v>
      </c>
      <c r="G50" s="45"/>
      <c r="H50" s="43" t="s">
        <v>273</v>
      </c>
      <c r="I50" s="46"/>
      <c r="J50" s="72">
        <v>1.2E-2</v>
      </c>
      <c r="K50" s="72"/>
      <c r="L50" s="72">
        <v>1.7399999999999999E-2</v>
      </c>
      <c r="M50" s="72"/>
    </row>
    <row r="51" spans="1:13" ht="24" customHeight="1" x14ac:dyDescent="0.25">
      <c r="A51" s="75"/>
      <c r="B51" s="41">
        <v>49</v>
      </c>
      <c r="C51" s="42" t="s">
        <v>274</v>
      </c>
      <c r="D51" s="43" t="s">
        <v>275</v>
      </c>
      <c r="E51" s="44"/>
      <c r="F51" s="43" t="s">
        <v>276</v>
      </c>
      <c r="G51" s="45"/>
      <c r="H51" s="43" t="s">
        <v>277</v>
      </c>
      <c r="I51" s="46"/>
      <c r="J51" s="72">
        <v>1.2E-2</v>
      </c>
      <c r="K51" s="72"/>
      <c r="L51" s="72">
        <v>1.7399999999999999E-2</v>
      </c>
      <c r="M51" s="72"/>
    </row>
    <row r="52" spans="1:13" ht="24" customHeight="1" x14ac:dyDescent="0.25">
      <c r="A52" s="75"/>
      <c r="B52" s="41">
        <v>50</v>
      </c>
      <c r="C52" s="42" t="s">
        <v>119</v>
      </c>
      <c r="D52" s="43" t="s">
        <v>227</v>
      </c>
      <c r="E52" s="44"/>
      <c r="F52" s="43" t="s">
        <v>278</v>
      </c>
      <c r="G52" s="45"/>
      <c r="H52" s="43" t="s">
        <v>279</v>
      </c>
      <c r="I52" s="46"/>
      <c r="J52" s="72">
        <v>1.2E-2</v>
      </c>
      <c r="K52" s="72"/>
      <c r="L52" s="72">
        <v>1.8499999999999999E-2</v>
      </c>
      <c r="M52" s="72"/>
    </row>
    <row r="53" spans="1:13" ht="24" customHeight="1" x14ac:dyDescent="0.25">
      <c r="A53" s="74" t="s">
        <v>120</v>
      </c>
      <c r="B53" s="32">
        <v>51</v>
      </c>
      <c r="C53" s="33" t="s">
        <v>121</v>
      </c>
      <c r="D53" s="34" t="s">
        <v>280</v>
      </c>
      <c r="E53" s="35"/>
      <c r="F53" s="34" t="s">
        <v>281</v>
      </c>
      <c r="G53" s="36"/>
      <c r="H53" s="34" t="s">
        <v>282</v>
      </c>
      <c r="I53" s="37"/>
      <c r="J53" s="68">
        <v>1.7000000000000001E-2</v>
      </c>
      <c r="K53" s="68"/>
      <c r="L53" s="68">
        <v>1.8499999999999999E-2</v>
      </c>
      <c r="M53" s="68"/>
    </row>
    <row r="54" spans="1:13" ht="24" customHeight="1" x14ac:dyDescent="0.25">
      <c r="A54" s="74"/>
      <c r="B54" s="32">
        <v>52</v>
      </c>
      <c r="C54" s="33" t="s">
        <v>122</v>
      </c>
      <c r="D54" s="34" t="s">
        <v>82</v>
      </c>
      <c r="E54" s="35"/>
      <c r="F54" s="34" t="s">
        <v>123</v>
      </c>
      <c r="G54" s="36"/>
      <c r="H54" s="34" t="s">
        <v>124</v>
      </c>
      <c r="I54" s="37"/>
      <c r="J54" s="68">
        <v>1.2E-2</v>
      </c>
      <c r="K54" s="68"/>
      <c r="L54" s="68">
        <v>1.41E-2</v>
      </c>
      <c r="M54" s="68"/>
    </row>
    <row r="55" spans="1:13" ht="24" customHeight="1" x14ac:dyDescent="0.25">
      <c r="A55" s="74"/>
      <c r="B55" s="32">
        <v>53</v>
      </c>
      <c r="C55" s="33" t="s">
        <v>125</v>
      </c>
      <c r="D55" s="34" t="s">
        <v>110</v>
      </c>
      <c r="E55" s="35"/>
      <c r="F55" s="34" t="s">
        <v>126</v>
      </c>
      <c r="G55" s="36"/>
      <c r="H55" s="34" t="s">
        <v>55</v>
      </c>
      <c r="I55" s="37"/>
      <c r="J55" s="68">
        <v>1.2E-2</v>
      </c>
      <c r="K55" s="68"/>
      <c r="L55" s="68">
        <v>1.2999999999999999E-2</v>
      </c>
      <c r="M55" s="68"/>
    </row>
    <row r="56" spans="1:13" ht="24" customHeight="1" x14ac:dyDescent="0.25">
      <c r="A56" s="74"/>
      <c r="B56" s="32">
        <v>54</v>
      </c>
      <c r="C56" s="33" t="s">
        <v>127</v>
      </c>
      <c r="D56" s="34" t="s">
        <v>128</v>
      </c>
      <c r="E56" s="35"/>
      <c r="F56" s="34" t="s">
        <v>129</v>
      </c>
      <c r="G56" s="36"/>
      <c r="H56" s="34" t="s">
        <v>130</v>
      </c>
      <c r="I56" s="37"/>
      <c r="J56" s="68">
        <v>1.2E-2</v>
      </c>
      <c r="K56" s="68"/>
      <c r="L56" s="68">
        <v>1.7399999999999999E-2</v>
      </c>
      <c r="M56" s="68"/>
    </row>
    <row r="57" spans="1:13" ht="29.25" customHeight="1" x14ac:dyDescent="0.25">
      <c r="A57" s="74"/>
      <c r="B57" s="32">
        <v>55</v>
      </c>
      <c r="C57" s="33" t="s">
        <v>283</v>
      </c>
      <c r="D57" s="34" t="s">
        <v>284</v>
      </c>
      <c r="E57" s="35"/>
      <c r="F57" s="34" t="s">
        <v>285</v>
      </c>
      <c r="G57" s="36"/>
      <c r="H57" s="34" t="s">
        <v>286</v>
      </c>
      <c r="I57" s="37"/>
      <c r="J57" s="68">
        <v>1.7000000000000001E-2</v>
      </c>
      <c r="K57" s="68"/>
      <c r="L57" s="68">
        <v>1.8499999999999999E-2</v>
      </c>
      <c r="M57" s="68"/>
    </row>
    <row r="58" spans="1:13" ht="24" customHeight="1" x14ac:dyDescent="0.25">
      <c r="A58" s="74"/>
      <c r="B58" s="32">
        <v>56</v>
      </c>
      <c r="C58" s="33" t="s">
        <v>131</v>
      </c>
      <c r="D58" s="34" t="s">
        <v>245</v>
      </c>
      <c r="E58" s="35"/>
      <c r="F58" s="34" t="s">
        <v>246</v>
      </c>
      <c r="G58" s="36"/>
      <c r="H58" s="34" t="s">
        <v>247</v>
      </c>
      <c r="I58" s="37"/>
      <c r="J58" s="68">
        <v>1.2E-2</v>
      </c>
      <c r="K58" s="68"/>
      <c r="L58" s="68">
        <v>1.7399999999999999E-2</v>
      </c>
      <c r="M58" s="68"/>
    </row>
    <row r="59" spans="1:13" ht="24" customHeight="1" x14ac:dyDescent="0.25">
      <c r="A59" s="75" t="s">
        <v>132</v>
      </c>
      <c r="B59" s="41">
        <v>57</v>
      </c>
      <c r="C59" s="42" t="s">
        <v>133</v>
      </c>
      <c r="D59" s="43" t="s">
        <v>245</v>
      </c>
      <c r="E59" s="44"/>
      <c r="F59" s="43" t="s">
        <v>288</v>
      </c>
      <c r="G59" s="45"/>
      <c r="H59" s="43" t="s">
        <v>294</v>
      </c>
      <c r="I59" s="46"/>
      <c r="J59" s="72">
        <v>1.2E-2</v>
      </c>
      <c r="K59" s="72"/>
      <c r="L59" s="72">
        <v>1.52E-2</v>
      </c>
      <c r="M59" s="72"/>
    </row>
    <row r="60" spans="1:13" ht="24" customHeight="1" x14ac:dyDescent="0.25">
      <c r="A60" s="75"/>
      <c r="B60" s="41">
        <v>58</v>
      </c>
      <c r="C60" s="42" t="s">
        <v>134</v>
      </c>
      <c r="D60" s="43" t="s">
        <v>295</v>
      </c>
      <c r="E60" s="44"/>
      <c r="F60" s="43" t="s">
        <v>296</v>
      </c>
      <c r="G60" s="45"/>
      <c r="H60" s="43" t="s">
        <v>297</v>
      </c>
      <c r="I60" s="46"/>
      <c r="J60" s="72">
        <v>2.5000000000000001E-2</v>
      </c>
      <c r="K60" s="72"/>
      <c r="L60" s="72">
        <v>1.8499999999999999E-2</v>
      </c>
      <c r="M60" s="72"/>
    </row>
    <row r="61" spans="1:13" ht="24" customHeight="1" x14ac:dyDescent="0.25">
      <c r="A61" s="75"/>
      <c r="B61" s="41">
        <v>59</v>
      </c>
      <c r="C61" s="42" t="s">
        <v>287</v>
      </c>
      <c r="D61" s="43" t="s">
        <v>245</v>
      </c>
      <c r="E61" s="44"/>
      <c r="F61" s="43" t="s">
        <v>288</v>
      </c>
      <c r="G61" s="45"/>
      <c r="H61" s="43" t="s">
        <v>289</v>
      </c>
      <c r="I61" s="46"/>
      <c r="J61" s="72">
        <v>1.2E-2</v>
      </c>
      <c r="K61" s="72"/>
      <c r="L61" s="72">
        <v>1.6299999999999999E-2</v>
      </c>
      <c r="M61" s="72"/>
    </row>
    <row r="62" spans="1:13" ht="24" customHeight="1" x14ac:dyDescent="0.25">
      <c r="A62" s="75"/>
      <c r="B62" s="41">
        <v>60</v>
      </c>
      <c r="C62" s="42" t="s">
        <v>135</v>
      </c>
      <c r="D62" s="43" t="s">
        <v>110</v>
      </c>
      <c r="E62" s="44"/>
      <c r="F62" s="43" t="s">
        <v>136</v>
      </c>
      <c r="G62" s="45"/>
      <c r="H62" s="43" t="s">
        <v>130</v>
      </c>
      <c r="I62" s="46"/>
      <c r="J62" s="72">
        <v>8.0000000000000002E-3</v>
      </c>
      <c r="K62" s="72"/>
      <c r="L62" s="72">
        <v>1.6299999999999999E-2</v>
      </c>
      <c r="M62" s="72"/>
    </row>
    <row r="63" spans="1:13" ht="24" customHeight="1" x14ac:dyDescent="0.25">
      <c r="A63" s="75"/>
      <c r="B63" s="41">
        <v>61</v>
      </c>
      <c r="C63" s="42" t="s">
        <v>137</v>
      </c>
      <c r="D63" s="43" t="s">
        <v>245</v>
      </c>
      <c r="E63" s="44"/>
      <c r="F63" s="43" t="s">
        <v>288</v>
      </c>
      <c r="G63" s="45"/>
      <c r="H63" s="43" t="s">
        <v>289</v>
      </c>
      <c r="I63" s="46"/>
      <c r="J63" s="72">
        <v>8.0000000000000002E-3</v>
      </c>
      <c r="K63" s="72"/>
      <c r="L63" s="72">
        <v>1.52E-2</v>
      </c>
      <c r="M63" s="72"/>
    </row>
    <row r="64" spans="1:13" ht="24" customHeight="1" x14ac:dyDescent="0.25">
      <c r="A64" s="75"/>
      <c r="B64" s="41">
        <v>62</v>
      </c>
      <c r="C64" s="42" t="s">
        <v>139</v>
      </c>
      <c r="D64" s="43" t="s">
        <v>245</v>
      </c>
      <c r="E64" s="44"/>
      <c r="F64" s="43" t="s">
        <v>288</v>
      </c>
      <c r="G64" s="45"/>
      <c r="H64" s="43" t="s">
        <v>289</v>
      </c>
      <c r="I64" s="46"/>
      <c r="J64" s="72">
        <v>8.0000000000000002E-3</v>
      </c>
      <c r="K64" s="72"/>
      <c r="L64" s="72">
        <v>1.52E-2</v>
      </c>
      <c r="M64" s="72"/>
    </row>
    <row r="65" spans="1:13" ht="24" customHeight="1" x14ac:dyDescent="0.25">
      <c r="A65" s="75"/>
      <c r="B65" s="41">
        <v>63</v>
      </c>
      <c r="C65" s="42" t="s">
        <v>290</v>
      </c>
      <c r="D65" s="43" t="s">
        <v>291</v>
      </c>
      <c r="E65" s="44"/>
      <c r="F65" s="43" t="s">
        <v>292</v>
      </c>
      <c r="G65" s="45"/>
      <c r="H65" s="43" t="s">
        <v>293</v>
      </c>
      <c r="I65" s="46"/>
      <c r="J65" s="72">
        <v>4.0000000000000001E-3</v>
      </c>
      <c r="K65" s="72"/>
      <c r="L65" s="72">
        <v>1.6299999999999999E-2</v>
      </c>
      <c r="M65" s="72"/>
    </row>
    <row r="66" spans="1:13" ht="24" customHeight="1" x14ac:dyDescent="0.25">
      <c r="A66" s="75"/>
      <c r="B66" s="41">
        <v>64</v>
      </c>
      <c r="C66" s="42" t="s">
        <v>140</v>
      </c>
      <c r="D66" s="43" t="s">
        <v>23</v>
      </c>
      <c r="E66" s="44"/>
      <c r="F66" s="43" t="s">
        <v>44</v>
      </c>
      <c r="G66" s="45"/>
      <c r="H66" s="43" t="s">
        <v>138</v>
      </c>
      <c r="I66" s="46"/>
      <c r="J66" s="72">
        <v>8.0000000000000002E-3</v>
      </c>
      <c r="K66" s="72"/>
      <c r="L66" s="72">
        <v>1.7399999999999999E-2</v>
      </c>
      <c r="M66" s="72"/>
    </row>
    <row r="67" spans="1:13" ht="30.75" customHeight="1" x14ac:dyDescent="0.25">
      <c r="A67" s="76" t="s">
        <v>437</v>
      </c>
      <c r="B67" s="76"/>
      <c r="C67" s="76"/>
      <c r="D67" s="24" t="s">
        <v>217</v>
      </c>
      <c r="E67" s="30">
        <f>COUNTIF(E3:E66,"SI")/ROWS(E3:E66)</f>
        <v>0</v>
      </c>
      <c r="F67" s="23" t="s">
        <v>218</v>
      </c>
      <c r="G67" s="30">
        <f>COUNTIF(G3:G66,"SI")/ROWS(G3:G66)</f>
        <v>0</v>
      </c>
      <c r="H67" s="22" t="s">
        <v>219</v>
      </c>
      <c r="I67" s="30">
        <f>COUNTIF(I3:I66,"SI")/ROWS(I3:I66)</f>
        <v>0</v>
      </c>
      <c r="J67" s="31" t="s">
        <v>220</v>
      </c>
      <c r="K67" s="25" cm="1">
        <f t="array" ref="K67">SUMPRODUCT($J$3:$J$66*IF($I$3:$I$66="SI",1,IF($G$3:$G$66="SI",1/2,IF($E$3:$E$66="SI",1/3,0))))</f>
        <v>0</v>
      </c>
      <c r="L67" s="26" t="s">
        <v>221</v>
      </c>
      <c r="M67" s="25" cm="1">
        <f t="array" ref="M67">SUMPRODUCT(L3:L66*IF(I3:I66="SI",1,IF(G3:G66="SI",1/2,IF(E3:E66="SI",1/3,0))))</f>
        <v>0</v>
      </c>
    </row>
    <row r="68" spans="1:13" ht="24" customHeight="1" x14ac:dyDescent="0.25">
      <c r="E68"/>
      <c r="J68" s="73"/>
      <c r="K68" s="73"/>
    </row>
  </sheetData>
  <mergeCells count="146">
    <mergeCell ref="A42:A46"/>
    <mergeCell ref="A47:A52"/>
    <mergeCell ref="A53:A58"/>
    <mergeCell ref="A59:A66"/>
    <mergeCell ref="A67:C67"/>
    <mergeCell ref="A3:A10"/>
    <mergeCell ref="A11:A18"/>
    <mergeCell ref="A19:A27"/>
    <mergeCell ref="A28:A30"/>
    <mergeCell ref="A31:A36"/>
    <mergeCell ref="A37:A41"/>
    <mergeCell ref="J60:K60"/>
    <mergeCell ref="J59:K59"/>
    <mergeCell ref="J58:K58"/>
    <mergeCell ref="J68:K68"/>
    <mergeCell ref="J57:K57"/>
    <mergeCell ref="J56:K56"/>
    <mergeCell ref="J66:K66"/>
    <mergeCell ref="J65:K65"/>
    <mergeCell ref="J64:K64"/>
    <mergeCell ref="J63:K63"/>
    <mergeCell ref="J62:K62"/>
    <mergeCell ref="J61:K61"/>
    <mergeCell ref="J49:K49"/>
    <mergeCell ref="J48:K48"/>
    <mergeCell ref="J47:K47"/>
    <mergeCell ref="J46:K46"/>
    <mergeCell ref="J45:K45"/>
    <mergeCell ref="J44:K44"/>
    <mergeCell ref="J55:K55"/>
    <mergeCell ref="J54:K54"/>
    <mergeCell ref="J53:K53"/>
    <mergeCell ref="J52:K52"/>
    <mergeCell ref="J51:K51"/>
    <mergeCell ref="J50:K50"/>
    <mergeCell ref="J37:K37"/>
    <mergeCell ref="J36:K36"/>
    <mergeCell ref="J35:K35"/>
    <mergeCell ref="J34:K34"/>
    <mergeCell ref="J33:K33"/>
    <mergeCell ref="J32:K32"/>
    <mergeCell ref="J43:K43"/>
    <mergeCell ref="J42:K42"/>
    <mergeCell ref="J41:K41"/>
    <mergeCell ref="J40:K40"/>
    <mergeCell ref="J39:K39"/>
    <mergeCell ref="J38:K38"/>
    <mergeCell ref="J25:K25"/>
    <mergeCell ref="J24:K24"/>
    <mergeCell ref="J23:K23"/>
    <mergeCell ref="J22:K22"/>
    <mergeCell ref="J21:K21"/>
    <mergeCell ref="J20:K20"/>
    <mergeCell ref="J31:K31"/>
    <mergeCell ref="J30:K30"/>
    <mergeCell ref="J29:K29"/>
    <mergeCell ref="J28:K28"/>
    <mergeCell ref="J27:K27"/>
    <mergeCell ref="J26:K26"/>
    <mergeCell ref="J13:K13"/>
    <mergeCell ref="J12:K12"/>
    <mergeCell ref="J11:K11"/>
    <mergeCell ref="J10:K10"/>
    <mergeCell ref="J9:K9"/>
    <mergeCell ref="J8:K8"/>
    <mergeCell ref="J19:K19"/>
    <mergeCell ref="J18:K18"/>
    <mergeCell ref="J17:K17"/>
    <mergeCell ref="J16:K16"/>
    <mergeCell ref="J15:K15"/>
    <mergeCell ref="J14:K14"/>
    <mergeCell ref="L66:M66"/>
    <mergeCell ref="L65:M65"/>
    <mergeCell ref="L64:M64"/>
    <mergeCell ref="L63:M63"/>
    <mergeCell ref="L62:M62"/>
    <mergeCell ref="L61:M61"/>
    <mergeCell ref="L60:M60"/>
    <mergeCell ref="L59:M59"/>
    <mergeCell ref="L58:M58"/>
    <mergeCell ref="L51:M51"/>
    <mergeCell ref="L50:M50"/>
    <mergeCell ref="L49:M49"/>
    <mergeCell ref="L48:M48"/>
    <mergeCell ref="L47:M47"/>
    <mergeCell ref="L46:M46"/>
    <mergeCell ref="L57:M57"/>
    <mergeCell ref="L56:M56"/>
    <mergeCell ref="L55:M55"/>
    <mergeCell ref="L54:M54"/>
    <mergeCell ref="L53:M53"/>
    <mergeCell ref="L52:M52"/>
    <mergeCell ref="L39:M39"/>
    <mergeCell ref="L38:M38"/>
    <mergeCell ref="L37:M37"/>
    <mergeCell ref="L36:M36"/>
    <mergeCell ref="L35:M35"/>
    <mergeCell ref="L34:M34"/>
    <mergeCell ref="L45:M45"/>
    <mergeCell ref="L44:M44"/>
    <mergeCell ref="L43:M43"/>
    <mergeCell ref="L42:M42"/>
    <mergeCell ref="L41:M41"/>
    <mergeCell ref="L40:M40"/>
    <mergeCell ref="L27:M27"/>
    <mergeCell ref="L26:M26"/>
    <mergeCell ref="L25:M25"/>
    <mergeCell ref="L24:M24"/>
    <mergeCell ref="L23:M23"/>
    <mergeCell ref="L22:M22"/>
    <mergeCell ref="L33:M33"/>
    <mergeCell ref="L32:M32"/>
    <mergeCell ref="L31:M31"/>
    <mergeCell ref="L30:M30"/>
    <mergeCell ref="L29:M29"/>
    <mergeCell ref="L28:M28"/>
    <mergeCell ref="L15:M15"/>
    <mergeCell ref="L14:M14"/>
    <mergeCell ref="L13:M13"/>
    <mergeCell ref="L12:M12"/>
    <mergeCell ref="L11:M11"/>
    <mergeCell ref="L10:M10"/>
    <mergeCell ref="L21:M21"/>
    <mergeCell ref="L20:M20"/>
    <mergeCell ref="L19:M19"/>
    <mergeCell ref="L18:M18"/>
    <mergeCell ref="L17:M17"/>
    <mergeCell ref="L16:M16"/>
    <mergeCell ref="L3:M3"/>
    <mergeCell ref="A1:C1"/>
    <mergeCell ref="D1:I1"/>
    <mergeCell ref="J1:K1"/>
    <mergeCell ref="L1:M1"/>
    <mergeCell ref="L9:M9"/>
    <mergeCell ref="L8:M8"/>
    <mergeCell ref="L7:M7"/>
    <mergeCell ref="L6:M6"/>
    <mergeCell ref="L5:M5"/>
    <mergeCell ref="L4:M4"/>
    <mergeCell ref="L2:M2"/>
    <mergeCell ref="J7:K7"/>
    <mergeCell ref="J6:K6"/>
    <mergeCell ref="J5:K5"/>
    <mergeCell ref="J4:K4"/>
    <mergeCell ref="J3:K3"/>
    <mergeCell ref="J2:K2"/>
  </mergeCells>
  <phoneticPr fontId="8" type="noConversion"/>
  <conditionalFormatting sqref="K67">
    <cfRule type="cellIs" dxfId="7" priority="5" operator="between">
      <formula>81%</formula>
      <formula>120%</formula>
    </cfRule>
    <cfRule type="cellIs" dxfId="6" priority="6" operator="between">
      <formula>61%</formula>
      <formula>80%</formula>
    </cfRule>
    <cfRule type="cellIs" dxfId="5" priority="7" operator="between">
      <formula>31%</formula>
      <formula>60%</formula>
    </cfRule>
    <cfRule type="cellIs" dxfId="4" priority="8" operator="between">
      <formula>0%</formula>
      <formula>30%</formula>
    </cfRule>
  </conditionalFormatting>
  <conditionalFormatting sqref="M67">
    <cfRule type="cellIs" dxfId="3" priority="1" operator="between">
      <formula>0.81</formula>
      <formula>1.2</formula>
    </cfRule>
    <cfRule type="cellIs" dxfId="2" priority="2" operator="between">
      <formula>0.61</formula>
      <formula>0.8</formula>
    </cfRule>
    <cfRule type="cellIs" dxfId="1" priority="3" operator="between">
      <formula>0.31</formula>
      <formula>0.6</formula>
    </cfRule>
    <cfRule type="cellIs" dxfId="0" priority="4" operator="between">
      <formula>0</formula>
      <formula>0.3</formula>
    </cfRule>
  </conditionalFormatting>
  <pageMargins left="0.7" right="0.7" top="0.75" bottom="0.75" header="0.3" footer="0.3"/>
  <pageSetup scale="41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E72577A-03C4-4699-816F-37E55CF5BE07}">
          <x14:formula1>
            <xm:f>Hoja7!$A$1:$A$2</xm:f>
          </x14:formula1>
          <xm:sqref>G3:G66 I3:I66</xm:sqref>
        </x14:dataValidation>
        <x14:dataValidation type="list" allowBlank="1" showInputMessage="1" showErrorMessage="1" xr:uid="{7DFA9272-BFAE-42FC-9FF1-F7E26545BF71}">
          <x14:formula1>
            <xm:f>Hoja7!$A$1</xm:f>
          </x14:formula1>
          <xm:sqref>E3:E66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B8117-11CF-4803-8163-978FDF7D3B28}">
  <dimension ref="A1"/>
  <sheetViews>
    <sheetView workbookViewId="0">
      <selection activeCell="F10" sqref="F10"/>
    </sheetView>
  </sheetViews>
  <sheetFormatPr baseColWidth="10" defaultRowHeight="15" x14ac:dyDescent="0.25"/>
  <cols>
    <col min="1" max="1" width="6.42578125" customWidth="1"/>
    <col min="2" max="2" width="5.28515625" customWidth="1"/>
  </cols>
  <sheetData>
    <row r="1" spans="1:1" x14ac:dyDescent="0.25">
      <c r="A1" t="s">
        <v>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3A5F0-80F6-43B8-A8AA-BCC1738BFCED}">
  <dimension ref="A1:F5"/>
  <sheetViews>
    <sheetView view="pageBreakPreview" topLeftCell="A3" zoomScale="70" zoomScaleNormal="85" zoomScaleSheetLayoutView="70" workbookViewId="0">
      <selection activeCell="D5" sqref="D5"/>
    </sheetView>
  </sheetViews>
  <sheetFormatPr baseColWidth="10" defaultRowHeight="32.25" customHeight="1" x14ac:dyDescent="0.25"/>
  <cols>
    <col min="1" max="1" width="11.42578125" style="5"/>
    <col min="2" max="2" width="18.42578125" customWidth="1"/>
    <col min="3" max="3" width="24.7109375" style="5" customWidth="1"/>
    <col min="4" max="4" width="70.28515625" customWidth="1"/>
    <col min="5" max="5" width="30.28515625" customWidth="1"/>
    <col min="6" max="6" width="26.7109375" customWidth="1"/>
  </cols>
  <sheetData>
    <row r="1" spans="1:6" ht="32.25" customHeight="1" x14ac:dyDescent="0.25">
      <c r="A1" s="8" t="s">
        <v>186</v>
      </c>
      <c r="B1" s="8" t="s">
        <v>147</v>
      </c>
      <c r="C1" s="8" t="s">
        <v>201</v>
      </c>
      <c r="D1" s="8" t="s">
        <v>187</v>
      </c>
      <c r="E1" s="8" t="s">
        <v>202</v>
      </c>
      <c r="F1" s="8" t="s">
        <v>188</v>
      </c>
    </row>
    <row r="2" spans="1:6" ht="133.5" customHeight="1" x14ac:dyDescent="0.25">
      <c r="A2" s="16" t="s">
        <v>165</v>
      </c>
      <c r="B2" s="16" t="s">
        <v>213</v>
      </c>
      <c r="C2" s="2" t="s">
        <v>189</v>
      </c>
      <c r="D2" s="3" t="s">
        <v>449</v>
      </c>
      <c r="E2" s="1" t="s">
        <v>190</v>
      </c>
      <c r="F2" s="1" t="s">
        <v>191</v>
      </c>
    </row>
    <row r="3" spans="1:6" ht="117" customHeight="1" x14ac:dyDescent="0.25">
      <c r="A3" s="15" t="s">
        <v>170</v>
      </c>
      <c r="B3" s="15" t="s">
        <v>210</v>
      </c>
      <c r="C3" s="2" t="s">
        <v>192</v>
      </c>
      <c r="D3" s="3" t="s">
        <v>444</v>
      </c>
      <c r="E3" s="1" t="s">
        <v>193</v>
      </c>
      <c r="F3" s="1" t="s">
        <v>194</v>
      </c>
    </row>
    <row r="4" spans="1:6" ht="124.5" customHeight="1" x14ac:dyDescent="0.25">
      <c r="A4" s="13" t="s">
        <v>175</v>
      </c>
      <c r="B4" s="13" t="s">
        <v>211</v>
      </c>
      <c r="C4" s="2" t="s">
        <v>195</v>
      </c>
      <c r="D4" s="3" t="s">
        <v>203</v>
      </c>
      <c r="E4" s="1" t="s">
        <v>196</v>
      </c>
      <c r="F4" s="1" t="s">
        <v>197</v>
      </c>
    </row>
    <row r="5" spans="1:6" ht="129" customHeight="1" x14ac:dyDescent="0.25">
      <c r="A5" s="14" t="s">
        <v>180</v>
      </c>
      <c r="B5" s="14" t="s">
        <v>214</v>
      </c>
      <c r="C5" s="2" t="s">
        <v>198</v>
      </c>
      <c r="D5" s="3" t="s">
        <v>204</v>
      </c>
      <c r="E5" s="1" t="s">
        <v>199</v>
      </c>
      <c r="F5" s="1" t="s">
        <v>200</v>
      </c>
    </row>
  </sheetData>
  <pageMargins left="0.7" right="0.7" top="0.75" bottom="0.75" header="0.3" footer="0.3"/>
  <pageSetup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Escenarios</vt:lpstr>
      <vt:lpstr>Nivel de criticidad</vt:lpstr>
      <vt:lpstr>Probabilidad asistencia militar</vt:lpstr>
      <vt:lpstr>Categorias</vt:lpstr>
      <vt:lpstr>Indicadores</vt:lpstr>
      <vt:lpstr>Matriz integrada</vt:lpstr>
      <vt:lpstr>Hoja7</vt:lpstr>
      <vt:lpstr>Alistamiento estrategico </vt:lpstr>
      <vt:lpstr>'Matriz integrada'!Área_de_impresión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2026-04-30T21:20:58Z</dcterms:created>
  <dcterms:modified xsi:type="dcterms:W3CDTF">2026-05-29T22:05:45Z</dcterms:modified>
</cp:coreProperties>
</file>